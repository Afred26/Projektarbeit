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itachipowergrids-my.sharepoint.com/personal/fredrik_schall_hitachienergy_com/Documents/Hitachi/4. Praxisphase/SECP/Entscheidungs Matrix/CT Calculation Excel new/"/>
    </mc:Choice>
  </mc:AlternateContent>
  <xr:revisionPtr revIDLastSave="1744" documentId="8_{748D434D-D97D-475D-A7A4-A82A529DAFC3}" xr6:coauthVersionLast="47" xr6:coauthVersionMax="47" xr10:uidLastSave="{E3736EE4-7AF3-42E0-9AA5-2A941DD3A0BB}"/>
  <bookViews>
    <workbookView xWindow="-28764" yWindow="-16476" windowWidth="29016" windowHeight="15696" firstSheet="1" activeTab="1" xr2:uid="{01B1E72B-5336-4561-ACF1-819786852B9B}"/>
  </bookViews>
  <sheets>
    <sheet name="Informationen" sheetId="8" r:id="rId1"/>
    <sheet name="Over Current" sheetId="7" r:id="rId2"/>
    <sheet name="220 - 1" sheetId="2" r:id="rId3"/>
    <sheet name="150 - 1" sheetId="18" r:id="rId4"/>
    <sheet name="150 - 2" sheetId="19" r:id="rId5"/>
    <sheet name="150 - 3" sheetId="20" r:id="rId6"/>
    <sheet name="150 - 4" sheetId="21" r:id="rId7"/>
    <sheet name="33 - 1" sheetId="22" r:id="rId8"/>
    <sheet name="33 - 2" sheetId="23" r:id="rId9"/>
    <sheet name="33 - 3" sheetId="24" r:id="rId10"/>
    <sheet name="33 - 4" sheetId="25" r:id="rId11"/>
    <sheet name="33 - 5" sheetId="26" r:id="rId12"/>
    <sheet name="Results" sheetId="27" r:id="rId13"/>
    <sheet name="Entscheidungsmatrix" sheetId="28" r:id="rId14"/>
  </sheets>
  <externalReferences>
    <externalReference r:id="rId15"/>
  </externalReferences>
  <definedNames>
    <definedName name="ApprovalDate" comment="{&quot;SkabelonDesign&quot;:{&quot;type&quot;:&quot;Text&quot;,&quot;binding&quot;:&quot;ApprovalDate&quot;}}">#REF!</definedName>
    <definedName name="ApprovedByPerson" comment="{&quot;SkabelonDesign&quot;:{&quot;type&quot;:&quot;Text&quot;,&quot;binding&quot;:&quot;ApprovedByPerson&quot;}}">#REF!</definedName>
    <definedName name="Copyright" comment="{&quot;SkabelonDesign&quot;:{&quot;type&quot;:&quot;Text&quot;,&quot;binding&quot;:&quot;Copyright&quot;}}">#REF!</definedName>
    <definedName name="DocumentId" comment="{&quot;SkabelonDesign&quot;:{&quot;type&quot;:&quot;Text&quot;,&quot;binding&quot;:&quot;DocumentId&quot;}}">#REF!</definedName>
    <definedName name="DocumentKind" comment="{&quot;SkabelonDesign&quot;:{&quot;type&quot;:&quot;Text&quot;,&quot;binding&quot;:&quot;DocumentKind&quot;}}">#REF!</definedName>
    <definedName name="DocumentRevisionId" comment="{&quot;SkabelonDesign&quot;:{&quot;type&quot;:&quot;Text&quot;,&quot;binding&quot;:&quot;DocumentRevisionId&quot;}}">#REF!</definedName>
    <definedName name="DocumentTitle" comment="{&quot;SkabelonDesign&quot;:{&quot;type&quot;:&quot;Text&quot;,&quot;binding&quot;:&quot;Title&quot;}}">#REF!</definedName>
    <definedName name="_xlnm.Print_Area" localSheetId="3">'150 - 1'!$B$1:$D$41</definedName>
    <definedName name="_xlnm.Print_Area" localSheetId="4">'150 - 2'!$B$1:$D$41</definedName>
    <definedName name="_xlnm.Print_Area" localSheetId="5">'150 - 3'!$B$1:$D$41</definedName>
    <definedName name="_xlnm.Print_Area" localSheetId="6">'150 - 4'!$B$1:$D$41</definedName>
    <definedName name="_xlnm.Print_Area" localSheetId="2">'220 - 1'!$B$1:$D$41</definedName>
    <definedName name="_xlnm.Print_Area" localSheetId="7">'33 - 1'!$B$1:$D$41</definedName>
    <definedName name="_xlnm.Print_Area" localSheetId="8">'33 - 2'!$B$1:$D$41</definedName>
    <definedName name="_xlnm.Print_Area" localSheetId="9">'33 - 3'!$B$1:$D$41</definedName>
    <definedName name="_xlnm.Print_Area" localSheetId="10">'33 - 4'!$B$1:$D$41</definedName>
    <definedName name="_xlnm.Print_Area" localSheetId="11">'33 - 5'!$B$1:$D$41</definedName>
    <definedName name="_xlnm.Print_Area" localSheetId="1">'Over Current'!$B$1:$D$33</definedName>
    <definedName name="_xlnm.Print_Area" localSheetId="12">Results!$A$1:$O$23</definedName>
    <definedName name="LanguageCode" comment="{&quot;SkabelonDesign&quot;:{&quot;type&quot;:&quot;Text&quot;,&quot;binding&quot;:&quot;LanguageCode&quot;}}">#REF!</definedName>
    <definedName name="LifecycleStatus" comment="{&quot;SkabelonDesign&quot;:{&quot;type&quot;:&quot;Text&quot;,&quot;binding&quot;:&quot;LifecycleStatus&quot;}}">#REF!</definedName>
    <definedName name="OwningOrganization" comment="{&quot;SkabelonDesign&quot;:{&quot;type&quot;:&quot;Text&quot;,&quot;binding&quot;:&quot;OwningOrganization&quot;}}">#REF!</definedName>
    <definedName name="PreparedByPerson" comment="{&quot;SkabelonDesign&quot;:{&quot;type&quot;:&quot;Text&quot;,&quot;binding&quot;:&quot;PreparedByPerson&quot;}}">#REF!</definedName>
    <definedName name="PreparedDate" comment="{&quot;SkabelonDesign&quot;:{&quot;type&quot;:&quot;Text&quot;,&quot;binding&quot;:&quot;PreparedDate&quot;}}">#REF!</definedName>
    <definedName name="SecurityLevel" comment="{&quot;SkabelonDesign&quot;:{&quot;type&quot;:&quot;Text&quot;,&quot;binding&quot;:&quot;SecurityLevel&quot;}}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7" l="1"/>
  <c r="C31" i="7" s="1"/>
  <c r="E59" i="28"/>
  <c r="D59" i="28"/>
  <c r="E58" i="28"/>
  <c r="D58" i="28"/>
  <c r="E57" i="28"/>
  <c r="D57" i="28"/>
  <c r="E56" i="28"/>
  <c r="D56" i="28"/>
  <c r="E55" i="28"/>
  <c r="D55" i="28"/>
  <c r="E54" i="28"/>
  <c r="D54" i="28"/>
  <c r="E53" i="28"/>
  <c r="D53" i="28"/>
  <c r="E52" i="28"/>
  <c r="D52" i="28"/>
  <c r="E51" i="28"/>
  <c r="D51" i="28"/>
  <c r="E50" i="28"/>
  <c r="D50" i="28"/>
  <c r="E73" i="28"/>
  <c r="D73" i="28"/>
  <c r="E72" i="28"/>
  <c r="D72" i="28"/>
  <c r="E71" i="28"/>
  <c r="D71" i="28"/>
  <c r="E70" i="28"/>
  <c r="D70" i="28"/>
  <c r="E69" i="28"/>
  <c r="D69" i="28"/>
  <c r="E68" i="28"/>
  <c r="D68" i="28"/>
  <c r="E67" i="28"/>
  <c r="D67" i="28"/>
  <c r="E66" i="28"/>
  <c r="D66" i="28"/>
  <c r="E65" i="28"/>
  <c r="D65" i="28"/>
  <c r="E64" i="28"/>
  <c r="D64" i="28"/>
  <c r="B43" i="28"/>
  <c r="D42" i="28"/>
  <c r="D41" i="28"/>
  <c r="D40" i="28"/>
  <c r="D39" i="28"/>
  <c r="D38" i="28"/>
  <c r="D37" i="28"/>
  <c r="D36" i="28"/>
  <c r="B20" i="28"/>
  <c r="D19" i="28"/>
  <c r="D18" i="28"/>
  <c r="D17" i="28"/>
  <c r="D16" i="28"/>
  <c r="D15" i="28"/>
  <c r="D14" i="28"/>
  <c r="D13" i="28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C32" i="7"/>
  <c r="B44" i="28" l="1"/>
  <c r="B21" i="28"/>
  <c r="C33" i="7"/>
  <c r="C22" i="7"/>
  <c r="C23" i="7"/>
  <c r="C36" i="26"/>
  <c r="C35" i="26"/>
  <c r="C36" i="25"/>
  <c r="C35" i="25"/>
  <c r="C36" i="24"/>
  <c r="C35" i="24"/>
  <c r="C36" i="23"/>
  <c r="C35" i="23"/>
  <c r="C36" i="22"/>
  <c r="C35" i="22"/>
  <c r="C36" i="21"/>
  <c r="C35" i="21"/>
  <c r="C36" i="20"/>
  <c r="C35" i="20"/>
  <c r="C36" i="19"/>
  <c r="C35" i="19"/>
  <c r="C36" i="18"/>
  <c r="C35" i="18"/>
  <c r="C36" i="2"/>
  <c r="C35" i="2"/>
  <c r="C24" i="7" l="1"/>
  <c r="C22" i="26" l="1"/>
  <c r="C21" i="26"/>
  <c r="C20" i="26"/>
  <c r="C19" i="26"/>
  <c r="C11" i="26"/>
  <c r="C10" i="26"/>
  <c r="C9" i="26"/>
  <c r="C8" i="26"/>
  <c r="C7" i="26"/>
  <c r="C6" i="26"/>
  <c r="C5" i="26"/>
  <c r="C4" i="26"/>
  <c r="C3" i="26"/>
  <c r="B1" i="26"/>
  <c r="C22" i="25"/>
  <c r="C21" i="25"/>
  <c r="C20" i="25"/>
  <c r="C19" i="25"/>
  <c r="C11" i="25"/>
  <c r="C10" i="25"/>
  <c r="C9" i="25"/>
  <c r="C8" i="25"/>
  <c r="C7" i="25"/>
  <c r="C6" i="25"/>
  <c r="C5" i="25"/>
  <c r="C4" i="25"/>
  <c r="C3" i="25"/>
  <c r="B1" i="25"/>
  <c r="C22" i="24"/>
  <c r="C21" i="24"/>
  <c r="C20" i="24"/>
  <c r="C19" i="24"/>
  <c r="C11" i="24"/>
  <c r="C10" i="24"/>
  <c r="C9" i="24"/>
  <c r="C8" i="24"/>
  <c r="C7" i="24"/>
  <c r="C6" i="24"/>
  <c r="C5" i="24"/>
  <c r="C4" i="24"/>
  <c r="C3" i="24"/>
  <c r="B1" i="24"/>
  <c r="C22" i="23"/>
  <c r="C21" i="23"/>
  <c r="C20" i="23"/>
  <c r="C19" i="23"/>
  <c r="C11" i="23"/>
  <c r="C10" i="23"/>
  <c r="C9" i="23"/>
  <c r="C8" i="23"/>
  <c r="C7" i="23"/>
  <c r="C6" i="23"/>
  <c r="C5" i="23"/>
  <c r="C4" i="23"/>
  <c r="C3" i="23"/>
  <c r="B1" i="23"/>
  <c r="C22" i="22"/>
  <c r="C21" i="22"/>
  <c r="C20" i="22"/>
  <c r="C19" i="22"/>
  <c r="C11" i="22"/>
  <c r="C10" i="22"/>
  <c r="C9" i="22"/>
  <c r="C8" i="22"/>
  <c r="C7" i="22"/>
  <c r="C6" i="22"/>
  <c r="C5" i="22"/>
  <c r="C4" i="22"/>
  <c r="C3" i="22"/>
  <c r="B1" i="22"/>
  <c r="C22" i="21"/>
  <c r="C21" i="21"/>
  <c r="C20" i="21"/>
  <c r="C19" i="21"/>
  <c r="C11" i="21"/>
  <c r="C10" i="21"/>
  <c r="C9" i="21"/>
  <c r="C8" i="21"/>
  <c r="C7" i="21"/>
  <c r="C6" i="21"/>
  <c r="C5" i="21"/>
  <c r="C4" i="21"/>
  <c r="C3" i="21"/>
  <c r="B1" i="21"/>
  <c r="C22" i="20"/>
  <c r="C21" i="20"/>
  <c r="C20" i="20"/>
  <c r="C19" i="20"/>
  <c r="C11" i="20"/>
  <c r="C10" i="20"/>
  <c r="C9" i="20"/>
  <c r="C8" i="20"/>
  <c r="C7" i="20"/>
  <c r="C6" i="20"/>
  <c r="C5" i="20"/>
  <c r="C4" i="20"/>
  <c r="C3" i="20"/>
  <c r="B1" i="20"/>
  <c r="C22" i="19"/>
  <c r="C21" i="19"/>
  <c r="C20" i="19"/>
  <c r="C19" i="19"/>
  <c r="C11" i="19"/>
  <c r="C10" i="19"/>
  <c r="C9" i="19"/>
  <c r="C8" i="19"/>
  <c r="C7" i="19"/>
  <c r="C6" i="19"/>
  <c r="C5" i="19"/>
  <c r="C4" i="19"/>
  <c r="C3" i="19"/>
  <c r="B1" i="19"/>
  <c r="C22" i="18"/>
  <c r="C21" i="18"/>
  <c r="C20" i="18"/>
  <c r="C19" i="18"/>
  <c r="C11" i="18"/>
  <c r="C10" i="18"/>
  <c r="C9" i="18"/>
  <c r="C8" i="18"/>
  <c r="C7" i="18"/>
  <c r="C6" i="18"/>
  <c r="C5" i="18"/>
  <c r="C4" i="18"/>
  <c r="C3" i="18"/>
  <c r="B1" i="18"/>
  <c r="C21" i="2"/>
  <c r="C20" i="2"/>
  <c r="C19" i="2"/>
  <c r="C11" i="2"/>
  <c r="C10" i="2"/>
  <c r="C9" i="2"/>
  <c r="C8" i="2"/>
  <c r="C7" i="2"/>
  <c r="C6" i="2"/>
  <c r="C5" i="2"/>
  <c r="C4" i="2"/>
  <c r="C3" i="2"/>
  <c r="M4" i="8"/>
  <c r="M5" i="8"/>
  <c r="M6" i="8"/>
  <c r="M7" i="8"/>
  <c r="M8" i="8"/>
  <c r="M9" i="8"/>
  <c r="M10" i="8"/>
  <c r="M11" i="8"/>
  <c r="M12" i="8"/>
  <c r="M13" i="8"/>
  <c r="C24" i="26" l="1"/>
  <c r="C25" i="26" s="1"/>
  <c r="C14" i="26"/>
  <c r="C13" i="26"/>
  <c r="C24" i="25"/>
  <c r="C25" i="25" s="1"/>
  <c r="C14" i="25"/>
  <c r="C13" i="25"/>
  <c r="C24" i="24"/>
  <c r="C13" i="24"/>
  <c r="C14" i="24"/>
  <c r="C14" i="23"/>
  <c r="C24" i="23"/>
  <c r="C13" i="23"/>
  <c r="C24" i="22"/>
  <c r="C25" i="22" s="1"/>
  <c r="C13" i="22"/>
  <c r="C14" i="22"/>
  <c r="C24" i="21"/>
  <c r="C25" i="21" s="1"/>
  <c r="C14" i="21"/>
  <c r="C13" i="21"/>
  <c r="C39" i="21" s="1"/>
  <c r="D13" i="27" s="1"/>
  <c r="C24" i="20"/>
  <c r="C25" i="20" s="1"/>
  <c r="C14" i="20"/>
  <c r="C13" i="20"/>
  <c r="C39" i="20" s="1"/>
  <c r="D11" i="27" s="1"/>
  <c r="C13" i="19"/>
  <c r="C24" i="19"/>
  <c r="C14" i="19"/>
  <c r="C24" i="18"/>
  <c r="C25" i="18" s="1"/>
  <c r="C14" i="18"/>
  <c r="C13" i="18"/>
  <c r="L13" i="27" l="1"/>
  <c r="M13" i="27"/>
  <c r="N13" i="27" s="1"/>
  <c r="L11" i="27"/>
  <c r="M11" i="27"/>
  <c r="N11" i="27" s="1"/>
  <c r="C38" i="23"/>
  <c r="C17" i="27" s="1"/>
  <c r="K17" i="27" s="1"/>
  <c r="C38" i="25"/>
  <c r="C21" i="27" s="1"/>
  <c r="K21" i="27" s="1"/>
  <c r="C38" i="24"/>
  <c r="C19" i="27" s="1"/>
  <c r="K19" i="27" s="1"/>
  <c r="E22" i="27"/>
  <c r="E23" i="27"/>
  <c r="E20" i="27"/>
  <c r="E21" i="27"/>
  <c r="E18" i="27"/>
  <c r="E19" i="27"/>
  <c r="E16" i="27"/>
  <c r="E17" i="27"/>
  <c r="E14" i="27"/>
  <c r="E15" i="27"/>
  <c r="E12" i="27"/>
  <c r="E13" i="27"/>
  <c r="E10" i="27"/>
  <c r="E11" i="27"/>
  <c r="E8" i="27"/>
  <c r="E9" i="27"/>
  <c r="E6" i="27"/>
  <c r="E7" i="27"/>
  <c r="C27" i="26"/>
  <c r="C22" i="27" s="1"/>
  <c r="K22" i="27" s="1"/>
  <c r="C39" i="26"/>
  <c r="D23" i="27" s="1"/>
  <c r="C38" i="26"/>
  <c r="C23" i="27" s="1"/>
  <c r="K23" i="27" s="1"/>
  <c r="C28" i="26"/>
  <c r="D22" i="27" s="1"/>
  <c r="C39" i="25"/>
  <c r="C28" i="25"/>
  <c r="D20" i="27" s="1"/>
  <c r="C27" i="25"/>
  <c r="C20" i="27" s="1"/>
  <c r="K20" i="27" s="1"/>
  <c r="C39" i="24"/>
  <c r="C25" i="24"/>
  <c r="C28" i="24" s="1"/>
  <c r="D18" i="27" s="1"/>
  <c r="C27" i="24"/>
  <c r="C18" i="27" s="1"/>
  <c r="K18" i="27" s="1"/>
  <c r="C39" i="23"/>
  <c r="C25" i="23"/>
  <c r="C28" i="23" s="1"/>
  <c r="D16" i="27" s="1"/>
  <c r="C27" i="23"/>
  <c r="C16" i="27" s="1"/>
  <c r="K16" i="27" s="1"/>
  <c r="C38" i="22"/>
  <c r="C15" i="27" s="1"/>
  <c r="K15" i="27" s="1"/>
  <c r="C39" i="22"/>
  <c r="D15" i="27" s="1"/>
  <c r="C28" i="22"/>
  <c r="D14" i="27" s="1"/>
  <c r="C27" i="22"/>
  <c r="C14" i="27" s="1"/>
  <c r="K14" i="27" s="1"/>
  <c r="C38" i="21"/>
  <c r="C13" i="27" s="1"/>
  <c r="K13" i="27" s="1"/>
  <c r="C28" i="21"/>
  <c r="D12" i="27" s="1"/>
  <c r="C27" i="21"/>
  <c r="C12" i="27" s="1"/>
  <c r="K12" i="27" s="1"/>
  <c r="C27" i="20"/>
  <c r="C10" i="27" s="1"/>
  <c r="K10" i="27" s="1"/>
  <c r="C38" i="20"/>
  <c r="C11" i="27" s="1"/>
  <c r="K11" i="27" s="1"/>
  <c r="C28" i="20"/>
  <c r="D10" i="27" s="1"/>
  <c r="C27" i="19"/>
  <c r="C8" i="27" s="1"/>
  <c r="K8" i="27" s="1"/>
  <c r="C25" i="19"/>
  <c r="C28" i="19" s="1"/>
  <c r="D8" i="27" s="1"/>
  <c r="C38" i="19"/>
  <c r="C9" i="27" s="1"/>
  <c r="K9" i="27" s="1"/>
  <c r="C39" i="19"/>
  <c r="D9" i="27" s="1"/>
  <c r="C28" i="18"/>
  <c r="D6" i="27" s="1"/>
  <c r="C38" i="18"/>
  <c r="C7" i="27" s="1"/>
  <c r="K7" i="27" s="1"/>
  <c r="C39" i="18"/>
  <c r="D7" i="27" s="1"/>
  <c r="C27" i="18"/>
  <c r="C6" i="27" s="1"/>
  <c r="K6" i="27" s="1"/>
  <c r="L15" i="27" l="1"/>
  <c r="M15" i="27"/>
  <c r="N15" i="27" s="1"/>
  <c r="L18" i="27"/>
  <c r="M18" i="27"/>
  <c r="L20" i="27"/>
  <c r="M20" i="27"/>
  <c r="L14" i="27"/>
  <c r="M14" i="27"/>
  <c r="L9" i="27"/>
  <c r="M9" i="27"/>
  <c r="N9" i="27" s="1"/>
  <c r="L8" i="27"/>
  <c r="M8" i="27"/>
  <c r="L22" i="27"/>
  <c r="M22" i="27"/>
  <c r="L23" i="27"/>
  <c r="M23" i="27"/>
  <c r="N23" i="27" s="1"/>
  <c r="L7" i="27"/>
  <c r="M7" i="27"/>
  <c r="N7" i="27" s="1"/>
  <c r="L6" i="27"/>
  <c r="M6" i="27"/>
  <c r="O13" i="27"/>
  <c r="O12" i="27" s="1"/>
  <c r="N12" i="27"/>
  <c r="L16" i="27"/>
  <c r="M16" i="27"/>
  <c r="L10" i="27"/>
  <c r="M10" i="27"/>
  <c r="O11" i="27"/>
  <c r="O10" i="27" s="1"/>
  <c r="N10" i="27"/>
  <c r="L12" i="27"/>
  <c r="M12" i="27"/>
  <c r="F11" i="27"/>
  <c r="F13" i="27"/>
  <c r="F12" i="27"/>
  <c r="F14" i="27"/>
  <c r="F16" i="27"/>
  <c r="F8" i="27"/>
  <c r="F22" i="27"/>
  <c r="F23" i="27"/>
  <c r="F15" i="27"/>
  <c r="F9" i="27"/>
  <c r="F10" i="27"/>
  <c r="F6" i="27"/>
  <c r="F7" i="27"/>
  <c r="F18" i="27"/>
  <c r="F20" i="27"/>
  <c r="C40" i="25"/>
  <c r="D21" i="27"/>
  <c r="M21" i="27" s="1"/>
  <c r="N21" i="27" s="1"/>
  <c r="C40" i="24"/>
  <c r="D19" i="27"/>
  <c r="M19" i="27" s="1"/>
  <c r="N19" i="27" s="1"/>
  <c r="C40" i="23"/>
  <c r="D17" i="27"/>
  <c r="M17" i="27" s="1"/>
  <c r="N17" i="27" s="1"/>
  <c r="C40" i="26"/>
  <c r="C29" i="26"/>
  <c r="C29" i="25"/>
  <c r="C29" i="24"/>
  <c r="C29" i="23"/>
  <c r="C40" i="22"/>
  <c r="C29" i="22"/>
  <c r="C29" i="21"/>
  <c r="C40" i="21"/>
  <c r="C29" i="20"/>
  <c r="C40" i="20"/>
  <c r="C29" i="19"/>
  <c r="C40" i="19"/>
  <c r="C29" i="18"/>
  <c r="C40" i="18"/>
  <c r="C14" i="7"/>
  <c r="C25" i="7" s="1"/>
  <c r="C13" i="7"/>
  <c r="C14" i="2"/>
  <c r="C13" i="2"/>
  <c r="C39" i="2" s="1"/>
  <c r="C24" i="2"/>
  <c r="C25" i="2" s="1"/>
  <c r="O23" i="27" l="1"/>
  <c r="O22" i="27" s="1"/>
  <c r="N22" i="27"/>
  <c r="D5" i="27"/>
  <c r="O7" i="27"/>
  <c r="O6" i="27" s="1"/>
  <c r="N6" i="27"/>
  <c r="O9" i="27"/>
  <c r="O8" i="27" s="1"/>
  <c r="N8" i="27"/>
  <c r="O21" i="27"/>
  <c r="O20" i="27" s="1"/>
  <c r="N20" i="27"/>
  <c r="O15" i="27"/>
  <c r="O14" i="27" s="1"/>
  <c r="N14" i="27"/>
  <c r="O17" i="27"/>
  <c r="O16" i="27" s="1"/>
  <c r="N16" i="27"/>
  <c r="O19" i="27"/>
  <c r="O18" i="27" s="1"/>
  <c r="N18" i="27"/>
  <c r="F21" i="27"/>
  <c r="L21" i="27"/>
  <c r="F17" i="27"/>
  <c r="L17" i="27"/>
  <c r="F19" i="27"/>
  <c r="L19" i="27"/>
  <c r="E4" i="27"/>
  <c r="E5" i="27"/>
  <c r="C41" i="26"/>
  <c r="C30" i="26"/>
  <c r="C41" i="25"/>
  <c r="C30" i="25"/>
  <c r="C41" i="24"/>
  <c r="C30" i="24"/>
  <c r="C41" i="23"/>
  <c r="C30" i="23"/>
  <c r="C41" i="22"/>
  <c r="C30" i="22"/>
  <c r="C41" i="21"/>
  <c r="C30" i="21"/>
  <c r="C41" i="20"/>
  <c r="C30" i="20"/>
  <c r="C41" i="19"/>
  <c r="C30" i="19"/>
  <c r="C41" i="18"/>
  <c r="C30" i="18"/>
  <c r="C28" i="2"/>
  <c r="D4" i="27" s="1"/>
  <c r="C38" i="2"/>
  <c r="C27" i="2"/>
  <c r="C4" i="27" s="1"/>
  <c r="K4" i="27" s="1"/>
  <c r="L4" i="27" l="1"/>
  <c r="M4" i="27"/>
  <c r="L5" i="27"/>
  <c r="M5" i="27"/>
  <c r="N5" i="27" s="1"/>
  <c r="F4" i="27"/>
  <c r="C40" i="2"/>
  <c r="C5" i="27"/>
  <c r="K5" i="27" s="1"/>
  <c r="C29" i="2"/>
  <c r="O5" i="27" l="1"/>
  <c r="O4" i="27" s="1"/>
  <c r="N4" i="27"/>
  <c r="F5" i="27"/>
  <c r="C41" i="2"/>
  <c r="C30" i="2"/>
  <c r="H53" i="28" l="1"/>
  <c r="H55" i="28"/>
  <c r="H54" i="28"/>
  <c r="H51" i="28"/>
  <c r="H57" i="28"/>
  <c r="H50" i="28"/>
  <c r="H56" i="28"/>
  <c r="H52" i="28"/>
  <c r="H58" i="28"/>
  <c r="H59" i="28"/>
  <c r="H67" i="28"/>
  <c r="H68" i="28"/>
  <c r="H69" i="28"/>
  <c r="H64" i="28"/>
  <c r="H66" i="28"/>
  <c r="H70" i="28"/>
  <c r="H71" i="28"/>
  <c r="H73" i="28"/>
  <c r="H72" i="28"/>
  <c r="H65" i="28"/>
  <c r="C68" i="28"/>
  <c r="C67" i="28"/>
  <c r="C73" i="28"/>
  <c r="C64" i="28"/>
  <c r="B50" i="28" l="1"/>
  <c r="C65" i="28"/>
  <c r="C66" i="28"/>
  <c r="C70" i="28"/>
  <c r="C72" i="28"/>
  <c r="C71" i="28"/>
  <c r="C69" i="28"/>
  <c r="B66" i="28" l="1"/>
  <c r="B68" i="28"/>
  <c r="B71" i="28"/>
  <c r="B65" i="28"/>
  <c r="B69" i="28"/>
  <c r="F64" i="28"/>
  <c r="F68" i="28"/>
  <c r="F67" i="28"/>
  <c r="B70" i="28"/>
  <c r="F73" i="28"/>
  <c r="B73" i="28"/>
  <c r="B67" i="28"/>
  <c r="C56" i="28"/>
  <c r="B72" i="28"/>
  <c r="B64" i="28"/>
  <c r="C50" i="28"/>
  <c r="C51" i="28"/>
  <c r="C55" i="28"/>
  <c r="C59" i="28"/>
  <c r="C57" i="28" l="1"/>
  <c r="C53" i="28"/>
  <c r="B51" i="28"/>
  <c r="B53" i="28"/>
  <c r="B55" i="28"/>
  <c r="B54" i="28"/>
  <c r="B59" i="28"/>
  <c r="B58" i="28"/>
  <c r="B56" i="28"/>
  <c r="C52" i="28"/>
  <c r="C58" i="28"/>
  <c r="B57" i="28"/>
  <c r="C54" i="28"/>
  <c r="B52" i="28"/>
  <c r="G70" i="28"/>
  <c r="G69" i="28"/>
  <c r="G71" i="28"/>
  <c r="F71" i="28"/>
  <c r="G66" i="28"/>
  <c r="F66" i="28"/>
  <c r="F70" i="28"/>
  <c r="G65" i="28"/>
  <c r="F65" i="28"/>
  <c r="F69" i="28"/>
  <c r="G68" i="28"/>
  <c r="F72" i="28"/>
  <c r="F50" i="28"/>
  <c r="G50" i="28"/>
  <c r="B30" i="28" l="1"/>
  <c r="B29" i="28"/>
  <c r="B27" i="28"/>
  <c r="B28" i="28"/>
  <c r="G52" i="28"/>
  <c r="F59" i="28"/>
  <c r="G51" i="28"/>
  <c r="G59" i="28"/>
  <c r="F54" i="28"/>
  <c r="F58" i="28"/>
  <c r="G56" i="28"/>
  <c r="F56" i="28"/>
  <c r="F52" i="28"/>
  <c r="F51" i="28"/>
  <c r="F55" i="28"/>
  <c r="F53" i="28"/>
  <c r="G58" i="28"/>
  <c r="G54" i="28"/>
  <c r="G55" i="28"/>
  <c r="G53" i="28"/>
  <c r="G57" i="28"/>
  <c r="F57" i="28"/>
  <c r="G73" i="28"/>
  <c r="G67" i="28"/>
  <c r="G72" i="28"/>
  <c r="G64" i="28"/>
  <c r="B31" i="28" l="1" a="1"/>
  <c r="B31" i="28" s="1"/>
  <c r="B8" i="28" a="1"/>
  <c r="B8" i="28" s="1"/>
  <c r="B5" i="28"/>
  <c r="B7" i="28"/>
  <c r="B4" i="28"/>
  <c r="B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tc={11EA48EF-AFC6-468E-93B0-C5C825126EF1}</author>
  </authors>
  <commentList>
    <comment ref="N10" authorId="0" shapeId="0" xr:uid="{11EA48EF-AFC6-468E-93B0-C5C825126EF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<sst xmlns="http://schemas.openxmlformats.org/spreadsheetml/2006/main" count="818" uniqueCount="143">
  <si>
    <t>A</t>
  </si>
  <si>
    <t>max Temperatur</t>
  </si>
  <si>
    <t>°C</t>
  </si>
  <si>
    <t>cabel length</t>
  </si>
  <si>
    <t>m</t>
  </si>
  <si>
    <t>cable diameter</t>
  </si>
  <si>
    <t>mm²</t>
  </si>
  <si>
    <t>RET670 - CT Requirement for Transformer Differential Protection</t>
  </si>
  <si>
    <t>Inputs</t>
  </si>
  <si>
    <t>CT rated primary current Ipr</t>
  </si>
  <si>
    <t>CT rated secondary current Isr</t>
  </si>
  <si>
    <t>IED input burden SR</t>
  </si>
  <si>
    <t>VA</t>
  </si>
  <si>
    <t>CT secondary resistance Rct</t>
  </si>
  <si>
    <t>Ohm</t>
  </si>
  <si>
    <t>Transformer Rating St</t>
  </si>
  <si>
    <t>MVA</t>
  </si>
  <si>
    <t>kV</t>
  </si>
  <si>
    <t>%</t>
  </si>
  <si>
    <t>Transformer rated primary current Irt</t>
  </si>
  <si>
    <t>Max. current through two main CTs and transformer Itf</t>
  </si>
  <si>
    <t>V</t>
  </si>
  <si>
    <t>Ealreq criterion 1: transformer rated current</t>
  </si>
  <si>
    <t>Ealreq criterion 2: through-fault current</t>
  </si>
  <si>
    <t>Required Eal</t>
  </si>
  <si>
    <t>Pass / fail</t>
  </si>
  <si>
    <t>Total secondary burden</t>
  </si>
  <si>
    <t>RED670 - CT Requirement for Line Differential Protection</t>
  </si>
  <si>
    <t>Maximum internal close-in fault current Ikmax</t>
  </si>
  <si>
    <t>Maximum external through-fault current Itmax</t>
  </si>
  <si>
    <t>Ealreq equation 601: internal close-in fault</t>
  </si>
  <si>
    <t>Ealreq equation 602: external through-fault</t>
  </si>
  <si>
    <t>Cable length</t>
  </si>
  <si>
    <t>Cable cross-section</t>
  </si>
  <si>
    <t>Maximum temperature</t>
  </si>
  <si>
    <t>Accuracy limiting factor ALF</t>
  </si>
  <si>
    <t>Rated CT output Sn</t>
  </si>
  <si>
    <t>Intermediate calculations</t>
  </si>
  <si>
    <t>Available CT Eal</t>
  </si>
  <si>
    <t>Nominal system voltage</t>
  </si>
  <si>
    <t>Transformer impedance</t>
  </si>
  <si>
    <t>Current bypassing the transformer If</t>
  </si>
  <si>
    <t>Results</t>
  </si>
  <si>
    <t>General parameters</t>
  </si>
  <si>
    <t>220 kV - Core 1</t>
  </si>
  <si>
    <t>Sr</t>
  </si>
  <si>
    <t>Rct</t>
  </si>
  <si>
    <t>Rl</t>
  </si>
  <si>
    <t>Isr</t>
  </si>
  <si>
    <t>Ipr</t>
  </si>
  <si>
    <t>Un</t>
  </si>
  <si>
    <t>Zt</t>
  </si>
  <si>
    <t>TMVA</t>
  </si>
  <si>
    <t>Itf</t>
  </si>
  <si>
    <t>Irt</t>
  </si>
  <si>
    <t>Itmax</t>
  </si>
  <si>
    <t>Ikmax</t>
  </si>
  <si>
    <t>Sn</t>
  </si>
  <si>
    <t>ALF</t>
  </si>
  <si>
    <t>Nr.</t>
  </si>
  <si>
    <t>Core Nr.</t>
  </si>
  <si>
    <t>Kabel Berechnung</t>
  </si>
  <si>
    <t>Allgemin</t>
  </si>
  <si>
    <t>Trafo Berechnung</t>
  </si>
  <si>
    <t>Trafo</t>
  </si>
  <si>
    <t>Line</t>
  </si>
  <si>
    <t>CT Calculation Results &amp; SECP Comparison</t>
  </si>
  <si>
    <t>Calculation sheet</t>
  </si>
  <si>
    <t>Protection function</t>
  </si>
  <si>
    <t>Excel criterion 1 (V)</t>
  </si>
  <si>
    <t>Excel criterion 2 (V)</t>
  </si>
  <si>
    <t>Excel status</t>
  </si>
  <si>
    <t>SECP criterion 1 (V)</t>
  </si>
  <si>
    <t>SECP criterion 2 (V)</t>
  </si>
  <si>
    <t>SECP status</t>
  </si>
  <si>
    <t>220 - 1</t>
  </si>
  <si>
    <t>Transformer differential</t>
  </si>
  <si>
    <t>Line differential</t>
  </si>
  <si>
    <t>150 - 1</t>
  </si>
  <si>
    <t>150 - 2</t>
  </si>
  <si>
    <t>150 - 3</t>
  </si>
  <si>
    <t>150 - 4</t>
  </si>
  <si>
    <t>33 - 1</t>
  </si>
  <si>
    <t>33 - 2</t>
  </si>
  <si>
    <t>33 - 3</t>
  </si>
  <si>
    <t>33 - 4</t>
  </si>
  <si>
    <t>33 - 5</t>
  </si>
  <si>
    <t>REF650 Over Current Calculation</t>
  </si>
  <si>
    <t>Criterion 1:  Ealreq equation 336</t>
  </si>
  <si>
    <t>Criterion 2:  Ealreq equation 337</t>
  </si>
  <si>
    <t>The primary operate value</t>
  </si>
  <si>
    <t>REF630 Over Current Calculation</t>
  </si>
  <si>
    <t>Actual burden of the current transformer</t>
  </si>
  <si>
    <t>Reqierd ALF</t>
  </si>
  <si>
    <t xml:space="preserve">Maximum close-in fault current </t>
  </si>
  <si>
    <t>Approximate value of the accuracy limit factor</t>
  </si>
  <si>
    <t>SECP proposed Eal (V)</t>
  </si>
  <si>
    <t>Excel proposed Eal (V)</t>
  </si>
  <si>
    <t>Spalte1</t>
  </si>
  <si>
    <t>Excel / SECP (%)</t>
  </si>
  <si>
    <t>RL SECP (Ohm)</t>
  </si>
  <si>
    <t>RL Error (%)</t>
  </si>
  <si>
    <t>Spalte 2</t>
  </si>
  <si>
    <t>Status</t>
  </si>
  <si>
    <t>Correctness of the calculation method</t>
  </si>
  <si>
    <t>Safety impact of deviations</t>
  </si>
  <si>
    <t>Numerical accuracy of the results</t>
  </si>
  <si>
    <t>Documentation and presentation quality</t>
  </si>
  <si>
    <t>Correctness of input processing</t>
  </si>
  <si>
    <t>Consistency of the suitability decision</t>
  </si>
  <si>
    <t>Traceability and reproducibility</t>
  </si>
  <si>
    <t>Excel Status</t>
  </si>
  <si>
    <t>SECP Status</t>
  </si>
  <si>
    <t>Decision Matrix – Transformer Differential Protection</t>
  </si>
  <si>
    <t>Number of transformer differential cases analyzed</t>
  </si>
  <si>
    <t>Minimum deviation between Excel and SECP</t>
  </si>
  <si>
    <t>Average deviation between Excel and SECP</t>
  </si>
  <si>
    <t>Maximum deviation between Excel and SECP</t>
  </si>
  <si>
    <t>Pass/fail agreement</t>
  </si>
  <si>
    <t>Direction of deviation</t>
  </si>
  <si>
    <t>SECP higher than Excel</t>
  </si>
  <si>
    <t>Category</t>
  </si>
  <si>
    <t>Weight</t>
  </si>
  <si>
    <t>Score (0–4)</t>
  </si>
  <si>
    <t>Weighted Contribution</t>
  </si>
  <si>
    <t>Example Rationale</t>
  </si>
  <si>
    <t>Error Direction</t>
  </si>
  <si>
    <t>Action</t>
  </si>
  <si>
    <t>Evaluated Weight</t>
  </si>
  <si>
    <t>Normalized Overall Result</t>
  </si>
  <si>
    <t>Decision Matrix – Line Differential Protection</t>
  </si>
  <si>
    <t>Number of line differential cases analyzed</t>
  </si>
  <si>
    <t>Calculation Sheet</t>
  </si>
  <si>
    <t>Excel Criterion 1 [V]</t>
  </si>
  <si>
    <t>Excel Criterion 2 [V]</t>
  </si>
  <si>
    <t>SECP Criterion 1 [V]</t>
  </si>
  <si>
    <t>SECP Criterion 2 [V]</t>
  </si>
  <si>
    <t>Deviation of Governing Criterion</t>
  </si>
  <si>
    <t>Data-Driven Metrics</t>
  </si>
  <si>
    <t>Weighted Quality Assessment</t>
  </si>
  <si>
    <t xml:space="preserve"> Data-Driven Metrics</t>
  </si>
  <si>
    <t xml:space="preserve"> Data Basis – Transformer Differential Protection</t>
  </si>
  <si>
    <t xml:space="preserve"> Data Basis – Line Differential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</si>
</sst>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_-* #,##0\ &quot;zł&quot;_-;\-* #,##0\ &quot;zł&quot;_-;_-* &quot;-&quot;\ &quot;zł&quot;_-;_-@_-"/>
    <numFmt numFmtId="165" formatCode="_-* #,##0.00\ &quot;zł&quot;_-;\-* #,##0.00\ &quot;zł&quot;_-;_-* &quot;-&quot;??\ &quot;zł&quot;_-;_-@_-"/>
    <numFmt numFmtId="167" formatCode="0.0000"/>
    <numFmt numFmtId="169" formatCode="#,##0.0000"/>
    <numFmt numFmtId="170" formatCode="0.0"/>
    <numFmt numFmtId="171" formatCode="0.0%"/>
  </numFmts>
  <fonts count="36" x14ac:knownFonts="1">
    <font>
      <sz val="11"/>
      <color theme="1"/>
      <name val="Verdana"/>
      <family val="2"/>
    </font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3F3F3F"/>
      <name val="Verdana"/>
      <family val="2"/>
      <scheme val="minor"/>
    </font>
    <font>
      <b/>
      <sz val="11"/>
      <color rgb="FFFA7D00"/>
      <name val="Verdana"/>
      <family val="2"/>
      <scheme val="minor"/>
    </font>
    <font>
      <sz val="11"/>
      <color rgb="FFFA7D00"/>
      <name val="Verdana"/>
      <family val="2"/>
      <scheme val="minor"/>
    </font>
    <font>
      <b/>
      <sz val="11"/>
      <color theme="0"/>
      <name val="Verdana"/>
      <family val="2"/>
      <scheme val="minor"/>
    </font>
    <font>
      <sz val="11"/>
      <color rgb="FFFF0000"/>
      <name val="Verdana"/>
      <family val="2"/>
      <scheme val="minor"/>
    </font>
    <font>
      <i/>
      <sz val="11"/>
      <color rgb="FF7F7F7F"/>
      <name val="Verdana"/>
      <family val="2"/>
      <scheme val="minor"/>
    </font>
    <font>
      <sz val="8"/>
      <color theme="1"/>
      <name val="Verdana"/>
      <family val="2"/>
      <charset val="238"/>
      <scheme val="minor"/>
    </font>
    <font>
      <sz val="6"/>
      <color theme="1"/>
      <name val="Verdana"/>
      <family val="2"/>
      <charset val="238"/>
      <scheme val="minor"/>
    </font>
    <font>
      <b/>
      <sz val="8"/>
      <color theme="1"/>
      <name val="Verdana"/>
      <family val="2"/>
      <charset val="238"/>
      <scheme val="minor"/>
    </font>
    <font>
      <sz val="11"/>
      <color theme="1"/>
      <name val="Verdana"/>
      <family val="2"/>
    </font>
    <font>
      <sz val="15"/>
      <color theme="1"/>
      <name val="Verdana"/>
      <family val="2"/>
    </font>
    <font>
      <sz val="13"/>
      <color theme="1"/>
      <name val="Verdana"/>
      <family val="2"/>
    </font>
    <font>
      <sz val="16"/>
      <color theme="1"/>
      <name val="Verdana"/>
      <family val="2"/>
    </font>
    <font>
      <sz val="9.5"/>
      <color theme="1"/>
      <name val="Verdana"/>
      <family val="2"/>
      <scheme val="major"/>
    </font>
    <font>
      <sz val="11"/>
      <color theme="0"/>
      <name val="Verdana"/>
      <family val="2"/>
    </font>
    <font>
      <sz val="9"/>
      <color rgb="FF1F2933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9"/>
      <color rgb="FF1F2933"/>
      <name val="Arial"/>
    </font>
    <font>
      <b/>
      <sz val="16"/>
      <color rgb="FFFFFFFF"/>
      <name val="Arial"/>
    </font>
    <font>
      <b/>
      <sz val="18"/>
      <color rgb="FFFFFFFF"/>
      <name val="Arial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9"/>
      <color rgb="FF1F2933"/>
      <name val="Arial"/>
      <family val="2"/>
    </font>
    <font>
      <sz val="8"/>
      <name val="Verdana"/>
      <family val="2"/>
    </font>
    <font>
      <sz val="11"/>
      <color theme="1"/>
      <name val="Arial"/>
    </font>
    <font>
      <b/>
      <sz val="15"/>
      <color rgb="FFFFFFFF"/>
      <name val="Verdana"/>
      <family val="2"/>
    </font>
    <font>
      <b/>
      <sz val="11"/>
      <color rgb="FFFFFFFF"/>
      <name val="Verdana"/>
      <family val="2"/>
    </font>
    <font>
      <sz val="11"/>
      <color rgb="FF666666"/>
      <name val="Verdana"/>
      <family val="2"/>
    </font>
    <font>
      <b/>
      <sz val="11"/>
      <color rgb="FF00000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D7D7D7"/>
        <bgColor indexed="64"/>
      </patternFill>
    </fill>
    <fill>
      <patternFill patternType="solid">
        <fgColor rgb="FF6F6F6F"/>
        <bgColor indexed="64"/>
      </patternFill>
    </fill>
    <fill>
      <patternFill patternType="solid">
        <fgColor rgb="FFFF0A23"/>
        <bgColor indexed="64"/>
      </patternFill>
    </fill>
    <fill>
      <patternFill patternType="solid">
        <fgColor rgb="FF7E000E"/>
        <bgColor indexed="64"/>
      </patternFill>
    </fill>
    <fill>
      <patternFill patternType="solid">
        <fgColor rgb="FF8CCD55"/>
        <bgColor indexed="64"/>
      </patternFill>
    </fill>
    <fill>
      <patternFill patternType="solid">
        <fgColor rgb="FF2F8C1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7E0010"/>
        <bgColor indexed="64"/>
      </patternFill>
    </fill>
    <fill>
      <patternFill patternType="solid">
        <fgColor rgb="FF8CC8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FF0026"/>
        <bgColor indexed="64"/>
      </patternFill>
    </fill>
    <fill>
      <patternFill patternType="solid">
        <fgColor rgb="FF7E000A"/>
        <bgColor indexed="64"/>
      </patternFill>
    </fill>
    <fill>
      <patternFill patternType="solid">
        <fgColor rgb="FF8CC63F"/>
        <bgColor indexed="64"/>
      </patternFill>
    </fill>
    <fill>
      <patternFill patternType="solid">
        <fgColor rgb="FFFF0023"/>
        <bgColor indexed="64"/>
      </patternFill>
    </fill>
    <fill>
      <patternFill patternType="solid">
        <fgColor rgb="FFFFB500"/>
        <bgColor indexed="64"/>
      </patternFill>
    </fill>
    <fill>
      <patternFill patternType="solid">
        <fgColor rgb="FF003B5C"/>
        <bgColor indexed="64"/>
      </patternFill>
    </fill>
    <fill>
      <patternFill patternType="solid">
        <fgColor rgb="FF0070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4F5"/>
        <bgColor indexed="64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4"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A9A9A9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43" fontId="13" fillId="0" borderId="0" applyFill="0" applyBorder="0" applyAlignment="0" applyProtection="0"/>
    <xf numFmtId="41" fontId="13" fillId="0" borderId="0" applyFill="0" applyBorder="0" applyAlignment="0" applyProtection="0"/>
    <xf numFmtId="165" fontId="13" fillId="0" borderId="0" applyFill="0" applyBorder="0" applyAlignment="0" applyProtection="0"/>
    <xf numFmtId="164" fontId="13" fillId="0" borderId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3" fillId="2" borderId="4" applyNumberFormat="0" applyAlignment="0" applyProtection="0"/>
    <xf numFmtId="0" fontId="4" fillId="3" borderId="5" applyNumberFormat="0" applyAlignment="0" applyProtection="0"/>
    <xf numFmtId="0" fontId="5" fillId="3" borderId="4" applyNumberFormat="0" applyAlignment="0" applyProtection="0"/>
    <xf numFmtId="0" fontId="6" fillId="0" borderId="6" applyNumberFormat="0" applyFill="0" applyAlignment="0" applyProtection="0"/>
    <xf numFmtId="0" fontId="7" fillId="4" borderId="7" applyNumberFormat="0" applyAlignment="0" applyProtection="0"/>
    <xf numFmtId="0" fontId="8" fillId="0" borderId="0" applyNumberFormat="0" applyFill="0" applyBorder="0" applyAlignment="0" applyProtection="0"/>
    <xf numFmtId="0" fontId="2" fillId="5" borderId="8" applyNumberFormat="0" applyFont="0" applyAlignment="0" applyProtection="0"/>
    <xf numFmtId="0" fontId="9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3" fillId="23" borderId="0" applyNumberFormat="0" applyBorder="0" applyAlignment="0" applyProtection="0"/>
    <xf numFmtId="0" fontId="2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8" borderId="0" applyNumberFormat="0" applyBorder="0" applyAlignment="0" applyProtection="0"/>
    <xf numFmtId="0" fontId="13" fillId="24" borderId="0" applyNumberFormat="0" applyBorder="0" applyAlignment="0" applyProtection="0"/>
    <xf numFmtId="0" fontId="2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19" borderId="0" applyNumberFormat="0" applyBorder="0" applyAlignment="0" applyProtection="0"/>
    <xf numFmtId="0" fontId="13" fillId="25" borderId="0" applyNumberFormat="0" applyBorder="0" applyAlignment="0" applyProtection="0"/>
    <xf numFmtId="0" fontId="2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20" borderId="0" applyNumberFormat="0" applyBorder="0" applyAlignment="0" applyProtection="0"/>
    <xf numFmtId="0" fontId="18" fillId="26" borderId="0" applyNumberFormat="0" applyBorder="0" applyAlignment="0" applyProtection="0"/>
    <xf numFmtId="0" fontId="2" fillId="9" borderId="0" applyNumberFormat="0" applyBorder="0" applyAlignment="0" applyProtection="0"/>
    <xf numFmtId="0" fontId="18" fillId="15" borderId="0" applyNumberFormat="0" applyBorder="0" applyAlignment="0" applyProtection="0"/>
    <xf numFmtId="0" fontId="18" fillId="21" borderId="0" applyNumberFormat="0" applyBorder="0" applyAlignment="0" applyProtection="0"/>
    <xf numFmtId="0" fontId="13" fillId="27" borderId="0" applyNumberFormat="0" applyBorder="0" applyAlignment="0" applyProtection="0"/>
    <xf numFmtId="0" fontId="2" fillId="10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2" fillId="11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1" fillId="0" borderId="0" applyBorder="0">
      <alignment vertical="center"/>
    </xf>
    <xf numFmtId="14" fontId="17" fillId="0" borderId="1" applyNumberFormat="0" applyBorder="0">
      <alignment vertical="center"/>
    </xf>
    <xf numFmtId="0" fontId="12" fillId="0" borderId="2">
      <alignment vertical="center"/>
    </xf>
    <xf numFmtId="0" fontId="10" fillId="0" borderId="9">
      <alignment vertical="top" wrapText="1"/>
    </xf>
    <xf numFmtId="0" fontId="10" fillId="0" borderId="3">
      <alignment vertical="top" wrapText="1"/>
    </xf>
    <xf numFmtId="0" fontId="11" fillId="0" borderId="10">
      <alignment vertical="center"/>
    </xf>
    <xf numFmtId="9" fontId="13" fillId="0" borderId="0" applyFill="0" applyBorder="0" applyAlignment="0" applyProtection="0"/>
    <xf numFmtId="0" fontId="1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19" fillId="0" borderId="13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/>
    </xf>
    <xf numFmtId="4" fontId="22" fillId="32" borderId="13" xfId="0" applyNumberFormat="1" applyFont="1" applyFill="1" applyBorder="1" applyAlignment="1">
      <alignment horizontal="right" vertical="center"/>
    </xf>
    <xf numFmtId="169" fontId="19" fillId="33" borderId="13" xfId="0" applyNumberFormat="1" applyFont="1" applyFill="1" applyBorder="1" applyAlignment="1">
      <alignment horizontal="right" vertical="center"/>
    </xf>
    <xf numFmtId="169" fontId="22" fillId="33" borderId="13" xfId="0" applyNumberFormat="1" applyFont="1" applyFill="1" applyBorder="1" applyAlignment="1">
      <alignment horizontal="right" vertical="center"/>
    </xf>
    <xf numFmtId="0" fontId="1" fillId="0" borderId="0" xfId="53"/>
    <xf numFmtId="0" fontId="1" fillId="0" borderId="0" xfId="53" applyAlignment="1">
      <alignment horizontal="center"/>
    </xf>
    <xf numFmtId="170" fontId="1" fillId="0" borderId="0" xfId="53" applyNumberFormat="1" applyAlignment="1">
      <alignment horizontal="center"/>
    </xf>
    <xf numFmtId="167" fontId="1" fillId="0" borderId="0" xfId="53" applyNumberFormat="1" applyAlignment="1">
      <alignment horizontal="center"/>
    </xf>
    <xf numFmtId="1" fontId="1" fillId="0" borderId="0" xfId="53" applyNumberFormat="1" applyAlignment="1">
      <alignment horizontal="center"/>
    </xf>
    <xf numFmtId="0" fontId="27" fillId="0" borderId="1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/>
    </xf>
    <xf numFmtId="3" fontId="22" fillId="32" borderId="13" xfId="0" applyNumberFormat="1" applyFont="1" applyFill="1" applyBorder="1" applyAlignment="1">
      <alignment horizontal="right" vertical="center"/>
    </xf>
    <xf numFmtId="0" fontId="21" fillId="31" borderId="16" xfId="0" applyFont="1" applyFill="1" applyBorder="1" applyAlignment="1">
      <alignment horizontal="center" vertical="center" wrapText="1"/>
    </xf>
    <xf numFmtId="0" fontId="21" fillId="31" borderId="17" xfId="0" applyFont="1" applyFill="1" applyBorder="1" applyAlignment="1">
      <alignment horizontal="center" vertical="center" wrapText="1"/>
    </xf>
    <xf numFmtId="0" fontId="25" fillId="31" borderId="17" xfId="0" applyFont="1" applyFill="1" applyBorder="1" applyAlignment="1">
      <alignment horizontal="center" vertical="center" wrapText="1"/>
    </xf>
    <xf numFmtId="0" fontId="21" fillId="31" borderId="18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4" fontId="26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9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4" fontId="26" fillId="0" borderId="20" xfId="0" applyNumberFormat="1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9" fontId="29" fillId="0" borderId="13" xfId="0" applyNumberFormat="1" applyFont="1" applyBorder="1" applyAlignment="1">
      <alignment horizontal="center" vertical="center"/>
    </xf>
    <xf numFmtId="171" fontId="13" fillId="0" borderId="13" xfId="52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4" fillId="35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9" fontId="0" fillId="0" borderId="22" xfId="0" applyNumberFormat="1" applyBorder="1" applyAlignment="1">
      <alignment horizontal="right" vertical="center" wrapText="1"/>
    </xf>
    <xf numFmtId="0" fontId="0" fillId="36" borderId="22" xfId="0" applyFill="1" applyBorder="1" applyAlignment="1">
      <alignment horizontal="right" vertical="center" wrapText="1"/>
    </xf>
    <xf numFmtId="171" fontId="0" fillId="0" borderId="22" xfId="0" applyNumberFormat="1" applyBorder="1" applyAlignment="1">
      <alignment horizontal="right" vertical="center" wrapText="1"/>
    </xf>
    <xf numFmtId="0" fontId="0" fillId="37" borderId="22" xfId="0" applyFill="1" applyBorder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71" fontId="35" fillId="38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32" fillId="0" borderId="0" xfId="0" applyFont="1" applyAlignment="1">
      <alignment vertical="center" wrapText="1"/>
    </xf>
    <xf numFmtId="0" fontId="34" fillId="35" borderId="22" xfId="0" applyFont="1" applyFill="1" applyBorder="1" applyAlignment="1">
      <alignment vertical="top" wrapText="1"/>
    </xf>
    <xf numFmtId="0" fontId="0" fillId="0" borderId="22" xfId="0" applyBorder="1" applyAlignment="1">
      <alignment vertical="top" wrapText="1"/>
    </xf>
    <xf numFmtId="9" fontId="0" fillId="0" borderId="22" xfId="0" applyNumberFormat="1" applyBorder="1" applyAlignment="1">
      <alignment vertical="top" wrapText="1"/>
    </xf>
    <xf numFmtId="0" fontId="0" fillId="36" borderId="22" xfId="0" applyFill="1" applyBorder="1" applyAlignment="1">
      <alignment vertical="top" wrapText="1"/>
    </xf>
    <xf numFmtId="171" fontId="0" fillId="0" borderId="22" xfId="0" applyNumberFormat="1" applyBorder="1" applyAlignment="1">
      <alignment vertical="top" wrapText="1"/>
    </xf>
    <xf numFmtId="0" fontId="0" fillId="37" borderId="22" xfId="0" applyFill="1" applyBorder="1" applyAlignment="1">
      <alignment vertical="top" wrapText="1"/>
    </xf>
    <xf numFmtId="0" fontId="0" fillId="35" borderId="22" xfId="0" applyFill="1" applyBorder="1" applyAlignment="1">
      <alignment vertical="top" wrapText="1"/>
    </xf>
    <xf numFmtId="9" fontId="0" fillId="0" borderId="0" xfId="0" applyNumberFormat="1" applyAlignment="1">
      <alignment vertical="top" wrapText="1"/>
    </xf>
    <xf numFmtId="171" fontId="35" fillId="38" borderId="0" xfId="0" applyNumberFormat="1" applyFont="1" applyFill="1" applyAlignment="1">
      <alignment vertical="top" wrapText="1"/>
    </xf>
    <xf numFmtId="167" fontId="0" fillId="0" borderId="22" xfId="0" applyNumberFormat="1" applyBorder="1" applyAlignment="1">
      <alignment vertical="top" wrapText="1"/>
    </xf>
    <xf numFmtId="10" fontId="0" fillId="0" borderId="22" xfId="0" applyNumberFormat="1" applyBorder="1" applyAlignment="1">
      <alignment vertical="top" wrapText="1"/>
    </xf>
    <xf numFmtId="167" fontId="0" fillId="0" borderId="22" xfId="0" applyNumberFormat="1" applyBorder="1" applyAlignment="1">
      <alignment horizontal="center" vertical="center" wrapText="1"/>
    </xf>
    <xf numFmtId="171" fontId="0" fillId="0" borderId="2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1" fillId="3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4" fillId="37" borderId="0" xfId="0" applyFont="1" applyFill="1" applyAlignment="1">
      <alignment vertical="top" wrapText="1"/>
    </xf>
    <xf numFmtId="0" fontId="3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1" fontId="33" fillId="0" borderId="0" xfId="0" applyNumberFormat="1" applyFont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1" fillId="34" borderId="0" xfId="0" applyFont="1" applyFill="1" applyAlignment="1">
      <alignment horizontal="left" vertical="center" wrapText="1"/>
    </xf>
    <xf numFmtId="0" fontId="34" fillId="37" borderId="0" xfId="0" applyFont="1" applyFill="1" applyAlignment="1">
      <alignment horizontal="left" vertical="center" wrapText="1"/>
    </xf>
    <xf numFmtId="0" fontId="30" fillId="34" borderId="0" xfId="0" applyFont="1" applyFill="1" applyAlignment="1">
      <alignment vertical="center" wrapText="1"/>
    </xf>
    <xf numFmtId="0" fontId="30" fillId="34" borderId="0" xfId="0" applyFont="1" applyFill="1" applyAlignment="1">
      <alignment horizontal="left" vertical="center" wrapText="1"/>
    </xf>
    <xf numFmtId="0" fontId="1" fillId="0" borderId="13" xfId="53" applyBorder="1" applyAlignment="1">
      <alignment horizontal="center"/>
    </xf>
    <xf numFmtId="0" fontId="1" fillId="0" borderId="14" xfId="53" applyBorder="1" applyAlignment="1">
      <alignment horizontal="center"/>
    </xf>
    <xf numFmtId="0" fontId="1" fillId="0" borderId="10" xfId="53" applyBorder="1" applyAlignment="1">
      <alignment horizontal="center"/>
    </xf>
    <xf numFmtId="0" fontId="1" fillId="0" borderId="15" xfId="53" applyBorder="1" applyAlignment="1">
      <alignment horizontal="center"/>
    </xf>
    <xf numFmtId="0" fontId="20" fillId="31" borderId="13" xfId="0" applyFont="1" applyFill="1" applyBorder="1" applyAlignment="1">
      <alignment horizontal="left" vertical="center" wrapText="1"/>
    </xf>
    <xf numFmtId="4" fontId="20" fillId="31" borderId="13" xfId="0" applyNumberFormat="1" applyFont="1" applyFill="1" applyBorder="1" applyAlignment="1">
      <alignment horizontal="right" vertical="center"/>
    </xf>
    <xf numFmtId="0" fontId="20" fillId="31" borderId="13" xfId="0" applyFont="1" applyFill="1" applyBorder="1" applyAlignment="1">
      <alignment horizontal="left" vertical="center"/>
    </xf>
    <xf numFmtId="0" fontId="25" fillId="30" borderId="13" xfId="0" applyFont="1" applyFill="1" applyBorder="1" applyAlignment="1">
      <alignment horizontal="left" vertical="center" wrapText="1"/>
    </xf>
    <xf numFmtId="0" fontId="21" fillId="30" borderId="13" xfId="0" applyFont="1" applyFill="1" applyBorder="1" applyAlignment="1">
      <alignment horizontal="right" vertical="center"/>
    </xf>
    <xf numFmtId="0" fontId="21" fillId="30" borderId="13" xfId="0" applyFont="1" applyFill="1" applyBorder="1" applyAlignment="1">
      <alignment horizontal="left" vertical="center"/>
    </xf>
    <xf numFmtId="0" fontId="23" fillId="30" borderId="13" xfId="0" applyFont="1" applyFill="1" applyBorder="1" applyAlignment="1">
      <alignment horizontal="center" vertical="center"/>
    </xf>
    <xf numFmtId="0" fontId="21" fillId="30" borderId="13" xfId="0" applyFont="1" applyFill="1" applyBorder="1" applyAlignment="1">
      <alignment horizontal="left" vertical="center" wrapText="1"/>
    </xf>
    <xf numFmtId="0" fontId="21" fillId="30" borderId="13" xfId="0" applyFont="1" applyFill="1" applyBorder="1" applyAlignment="1">
      <alignment horizontal="center" vertical="center"/>
    </xf>
    <xf numFmtId="0" fontId="20" fillId="31" borderId="13" xfId="0" applyFont="1" applyFill="1" applyBorder="1" applyAlignment="1">
      <alignment horizontal="right" vertical="center"/>
    </xf>
    <xf numFmtId="0" fontId="20" fillId="31" borderId="14" xfId="0" applyFont="1" applyFill="1" applyBorder="1" applyAlignment="1">
      <alignment horizontal="left" vertical="center" wrapText="1"/>
    </xf>
    <xf numFmtId="0" fontId="20" fillId="31" borderId="10" xfId="0" applyFont="1" applyFill="1" applyBorder="1" applyAlignment="1">
      <alignment horizontal="left" vertical="center" wrapText="1"/>
    </xf>
    <xf numFmtId="0" fontId="20" fillId="31" borderId="15" xfId="0" applyFont="1" applyFill="1" applyBorder="1" applyAlignment="1">
      <alignment horizontal="left" vertical="center" wrapText="1"/>
    </xf>
    <xf numFmtId="0" fontId="24" fillId="30" borderId="0" xfId="0" applyFont="1" applyFill="1" applyAlignment="1">
      <alignment horizontal="left" vertical="center"/>
    </xf>
    <xf numFmtId="0" fontId="19" fillId="0" borderId="23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left" vertical="center"/>
    </xf>
  </cellXfs>
  <cellStyles count="54">
    <cellStyle name="_Meta Data Content" xfId="47" xr:uid="{C40E1D37-404B-45A0-B820-FEB526A4F37A}"/>
    <cellStyle name="_Meta Data Copyright" xfId="51" xr:uid="{91CEAD18-29F0-4A90-9F29-93C506258202}"/>
    <cellStyle name="_Meta Data Heading" xfId="46" xr:uid="{2486B25D-F5FF-4DAB-819C-FC38D98AF132}"/>
    <cellStyle name="_Revision Table Header" xfId="48" xr:uid="{B930ED5C-8A37-4214-91F8-0D70EBC3D42A}"/>
    <cellStyle name="_Revision Table Last Row" xfId="50" xr:uid="{C86E9122-5F36-44F6-A278-56260A577E06}"/>
    <cellStyle name="_Revision Table Row" xfId="49" xr:uid="{BCB6EAD3-0C23-4F6D-83C7-FCD83AE23C4D}"/>
    <cellStyle name="20 % - Akzent1" xfId="23" builtinId="30" hidden="1"/>
    <cellStyle name="20 % - Akzent2" xfId="27" builtinId="34" hidden="1"/>
    <cellStyle name="20 % - Akzent3" xfId="31" builtinId="38" hidden="1"/>
    <cellStyle name="20 % - Akzent4" xfId="35" builtinId="42" hidden="1"/>
    <cellStyle name="20 % - Akzent5" xfId="39" builtinId="46" hidden="1"/>
    <cellStyle name="20 % - Akzent6" xfId="43" builtinId="50" hidden="1"/>
    <cellStyle name="40 % - Akzent1" xfId="24" builtinId="31" customBuiltin="1"/>
    <cellStyle name="40 % - Akzent2" xfId="28" builtinId="35" customBuiltin="1"/>
    <cellStyle name="40 % - Akzent3" xfId="32" builtinId="39" customBuiltin="1"/>
    <cellStyle name="40 % - Akzent4" xfId="36" builtinId="43" customBuiltin="1"/>
    <cellStyle name="40 % - Akzent5" xfId="40" builtinId="47" customBuiltin="1"/>
    <cellStyle name="40 % - Akzent6" xfId="44" builtinId="51" customBuiltin="1"/>
    <cellStyle name="60 % - Akzent1" xfId="25" builtinId="32" customBuiltin="1"/>
    <cellStyle name="60 % - Akzent2" xfId="29" builtinId="36" customBuiltin="1"/>
    <cellStyle name="60 % - Akzent3" xfId="33" builtinId="40" customBuiltin="1"/>
    <cellStyle name="60 % - Akzent4" xfId="37" builtinId="44" customBuiltin="1"/>
    <cellStyle name="60 % - Akzent5" xfId="41" builtinId="48" customBuiltin="1"/>
    <cellStyle name="60 % - Akzent6" xfId="45" builtinId="52" customBuiltin="1"/>
    <cellStyle name="Akzent1" xfId="22" builtinId="29" customBuiltin="1"/>
    <cellStyle name="Akzent2" xfId="26" builtinId="33" customBuiltin="1"/>
    <cellStyle name="Akzent3" xfId="30" builtinId="37" customBuiltin="1"/>
    <cellStyle name="Akzent4" xfId="34" builtinId="41" customBuiltin="1"/>
    <cellStyle name="Akzent5" xfId="38" builtinId="45" customBuiltin="1"/>
    <cellStyle name="Akzent6" xfId="42" builtinId="49" customBuiltin="1"/>
    <cellStyle name="Ausgabe" xfId="14" builtinId="21" hidden="1"/>
    <cellStyle name="Berechnung" xfId="15" builtinId="22" hidden="1"/>
    <cellStyle name="Dezimal [0]" xfId="2" builtinId="6" customBuiltin="1"/>
    <cellStyle name="Eingabe" xfId="13" builtinId="20" hidden="1"/>
    <cellStyle name="Ergebnis" xfId="21" builtinId="25" customBuiltin="1"/>
    <cellStyle name="Erklärender Text" xfId="20" builtinId="53" hidden="1"/>
    <cellStyle name="Gut" xfId="10" builtinId="26" customBuiltin="1"/>
    <cellStyle name="Komma" xfId="1" builtinId="3" customBuiltin="1"/>
    <cellStyle name="Neutral" xfId="12" builtinId="28" customBuiltin="1"/>
    <cellStyle name="Notiz" xfId="19" builtinId="10" hidden="1"/>
    <cellStyle name="Prozent" xfId="52" builtinId="5" customBuiltin="1"/>
    <cellStyle name="Schlecht" xfId="11" builtinId="27" customBuiltin="1"/>
    <cellStyle name="Standard" xfId="0" builtinId="0" customBuiltin="1"/>
    <cellStyle name="Standard 2" xfId="53" xr:uid="{5233DFB5-0F36-4077-B831-E2E370C260E5}"/>
    <cellStyle name="Überschrift" xfId="5" builtinId="15" customBuiltin="1"/>
    <cellStyle name="Überschrift 1" xfId="6" builtinId="16" customBuiltin="1"/>
    <cellStyle name="Überschrift 2" xfId="7" builtinId="17" customBuiltin="1"/>
    <cellStyle name="Überschrift 3" xfId="8" builtinId="18" customBuiltin="1"/>
    <cellStyle name="Überschrift 4" xfId="9" builtinId="19" customBuiltin="1"/>
    <cellStyle name="Verknüpfte Zelle" xfId="16" builtinId="24" hidden="1"/>
    <cellStyle name="Währung" xfId="3" builtinId="4" customBuiltin="1"/>
    <cellStyle name="Währung [0]" xfId="4" builtinId="7" customBuiltin="1"/>
    <cellStyle name="Warnender Text" xfId="18" builtinId="11" hidden="1"/>
    <cellStyle name="Zelle überprüfen" xfId="17" builtinId="23" hidden="1"/>
  </cellStyles>
  <dxfs count="100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numFmt numFmtId="171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Arial"/>
      </font>
      <numFmt numFmtId="169" formatCode="#,##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Arial"/>
        <family val="2"/>
      </font>
      <numFmt numFmtId="171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Arial"/>
        <family val="2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auto="1"/>
        <name val="Arial"/>
        <family val="2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name val="Arial"/>
        <family val="2"/>
      </font>
      <numFmt numFmtId="0" formatCode="General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auto="1"/>
        <name val="Arial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auto="1"/>
        <name val="Arial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alignment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name val="Arial"/>
      </font>
    </dxf>
    <dxf>
      <border>
        <bottom style="thin">
          <color indexed="64"/>
        </bottom>
      </border>
    </dxf>
    <dxf>
      <font>
        <b/>
        <color rgb="FFFFFFFF"/>
        <name val="Arial"/>
      </font>
      <fill>
        <patternFill patternType="solid">
          <fgColor indexed="64"/>
          <bgColor rgb="FF0070A8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70" formatCode="0.0"/>
      <alignment horizontal="center" vertical="bottom" textRotation="0" wrapText="0" indent="0" justifyLastLine="0" shrinkToFit="0" readingOrder="0"/>
    </dxf>
    <dxf>
      <numFmt numFmtId="170" formatCode="0.0"/>
      <alignment horizontal="center" vertical="bottom" textRotation="0" wrapText="0" indent="0" justifyLastLine="0" shrinkToFit="0" readingOrder="0"/>
    </dxf>
    <dxf>
      <numFmt numFmtId="170" formatCode="0.0"/>
      <alignment horizontal="center" vertical="bottom" textRotation="0" wrapText="0" indent="0" justifyLastLine="0" shrinkToFit="0" readingOrder="0"/>
    </dxf>
    <dxf>
      <numFmt numFmtId="170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</font>
      <border>
        <top style="thick">
          <color auto="1"/>
        </top>
        <bottom style="thin">
          <color theme="8"/>
        </bottom>
      </border>
    </dxf>
    <dxf>
      <border>
        <vertical style="thin">
          <color theme="8"/>
        </vertical>
        <horizontal style="thin">
          <color theme="8"/>
        </horizontal>
      </border>
    </dxf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top style="thick">
          <color auto="1"/>
        </top>
        <bottom style="thin">
          <color auto="1"/>
        </bottom>
      </border>
    </dxf>
    <dxf>
      <border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</dxf>
    <dxf>
      <border>
        <top style="thin">
          <color auto="1"/>
        </top>
      </border>
    </dxf>
    <dxf>
      <font>
        <b/>
        <i val="0"/>
      </font>
      <fill>
        <patternFill>
          <bgColor theme="0"/>
        </patternFill>
      </fill>
      <border>
        <top style="medium">
          <color auto="1"/>
        </top>
        <bottom/>
      </border>
    </dxf>
    <dxf>
      <fill>
        <patternFill>
          <bgColor theme="0"/>
        </patternFill>
      </fill>
      <border>
        <top style="medium">
          <color auto="1"/>
        </top>
        <bottom style="thin">
          <color auto="1"/>
        </bottom>
        <horizontal/>
      </border>
    </dxf>
  </dxfs>
  <tableStyles count="3" defaultTableStyle="Hitachi table 1" defaultPivotStyle="PivotStyleLight16">
    <tableStyle name="Hitachi table 1" pivot="0" count="7" xr9:uid="{8E05038B-35BD-4FCB-85F9-65B80D177C34}">
      <tableStyleElement type="wholeTable" dxfId="99"/>
      <tableStyleElement type="headerRow" dxfId="98"/>
      <tableStyleElement type="totalRow" dxfId="97"/>
      <tableStyleElement type="firstColumn" dxfId="96"/>
      <tableStyleElement type="lastColumn" dxfId="95"/>
      <tableStyleElement type="firstRowStripe" dxfId="94"/>
      <tableStyleElement type="secondRowStripe" dxfId="93"/>
    </tableStyle>
    <tableStyle name="Hitachi table 2" pivot="0" count="3" xr9:uid="{1E0C8858-7919-4B59-9A0D-C7B45A2D780C}">
      <tableStyleElement type="wholeTable" dxfId="92"/>
      <tableStyleElement type="headerRow" dxfId="91"/>
      <tableStyleElement type="totalRow" dxfId="90"/>
    </tableStyle>
    <tableStyle name="Hitachi table 3" pivot="0" count="3" xr9:uid="{031F756C-D306-48F7-845A-41382F2C5031}">
      <tableStyleElement type="wholeTable" dxfId="89"/>
      <tableStyleElement type="headerRow" dxfId="88"/>
      <tableStyleElement type="totalRow" dxfId="87"/>
    </tableStyle>
  </tableStyles>
  <colors>
    <mruColors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itachipowergrids-my.sharepoint.com/personal/fredrik_schall_hitachienergy_com/Documents/Hitachi/4.%20Praxisphase/SECP/Entscheidungs%20Matrix/CT%20Calculation%20Excel%20new/Mappe1_mit_Entscheidungsmatrix_Trafo_Diff.xlsx" TargetMode="External"/><Relationship Id="rId1" Type="http://schemas.openxmlformats.org/officeDocument/2006/relationships/externalLinkPath" Target="Mappe1_mit_Entscheidungsmatrix_Trafo_Di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st Sheet"/>
      <sheetName val="Informationen"/>
      <sheetName val="Over Current"/>
      <sheetName val="220 - 1"/>
      <sheetName val="150 - 1"/>
      <sheetName val="150 - 2"/>
      <sheetName val="150 - 3"/>
      <sheetName val="150 - 4"/>
      <sheetName val="33 - 1"/>
      <sheetName val="33 - 2"/>
      <sheetName val="33 - 3"/>
      <sheetName val="33 - 4"/>
      <sheetName val="33 - 5"/>
      <sheetName val="Results"/>
      <sheetName val="Entscheidungsmatrix Trafo Diff"/>
      <sheetName val="Entscheidungsmatrix Line D "/>
      <sheetName val="Tabel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">
          <cell r="A4" t="str">
            <v>220 - 1</v>
          </cell>
          <cell r="B4" t="str">
            <v>Line differential</v>
          </cell>
          <cell r="C4">
            <v>498.60738281250002</v>
          </cell>
          <cell r="D4">
            <v>997.21476562500004</v>
          </cell>
          <cell r="E4">
            <v>740</v>
          </cell>
          <cell r="F4" t="str">
            <v>fail</v>
          </cell>
          <cell r="G4">
            <v>501.82499999999999</v>
          </cell>
          <cell r="H4">
            <v>1003.65</v>
          </cell>
          <cell r="I4">
            <v>740</v>
          </cell>
          <cell r="J4" t="str">
            <v>fail</v>
          </cell>
          <cell r="K4">
            <v>0.64532080719510532</v>
          </cell>
          <cell r="L4">
            <v>0.64532080719510532</v>
          </cell>
          <cell r="M4">
            <v>0.99358816880884782</v>
          </cell>
        </row>
        <row r="5">
          <cell r="A5" t="str">
            <v>150 - 1</v>
          </cell>
          <cell r="B5" t="str">
            <v>Line differential</v>
          </cell>
          <cell r="C5">
            <v>40.71769845</v>
          </cell>
          <cell r="D5">
            <v>616.93482499999993</v>
          </cell>
          <cell r="E5">
            <v>340</v>
          </cell>
          <cell r="F5" t="str">
            <v>fail</v>
          </cell>
          <cell r="G5">
            <v>40.913699999999999</v>
          </cell>
          <cell r="H5">
            <v>619.904</v>
          </cell>
          <cell r="I5">
            <v>340</v>
          </cell>
          <cell r="J5" t="str">
            <v>fail</v>
          </cell>
          <cell r="K5">
            <v>0.48136696685025981</v>
          </cell>
          <cell r="L5">
            <v>0.48127855320861102</v>
          </cell>
          <cell r="M5">
            <v>0.99521026642835009</v>
          </cell>
        </row>
        <row r="6">
          <cell r="A6" t="str">
            <v>150 - 2</v>
          </cell>
          <cell r="B6" t="str">
            <v>Line differential</v>
          </cell>
          <cell r="C6">
            <v>178.91109925000001</v>
          </cell>
          <cell r="D6">
            <v>493.54786000000001</v>
          </cell>
          <cell r="E6">
            <v>340</v>
          </cell>
          <cell r="F6" t="str">
            <v>fail</v>
          </cell>
          <cell r="G6">
            <v>179.7722</v>
          </cell>
          <cell r="H6">
            <v>495.92320000000001</v>
          </cell>
          <cell r="I6">
            <v>340</v>
          </cell>
          <cell r="J6" t="str">
            <v>fail</v>
          </cell>
          <cell r="K6">
            <v>0.48130091068119896</v>
          </cell>
          <cell r="L6">
            <v>0.48127855320861102</v>
          </cell>
          <cell r="M6">
            <v>0.9952102664283502</v>
          </cell>
        </row>
        <row r="7">
          <cell r="A7" t="str">
            <v>150 - 3</v>
          </cell>
          <cell r="B7" t="str">
            <v>Line differential</v>
          </cell>
          <cell r="C7">
            <v>266.17914999999999</v>
          </cell>
          <cell r="D7">
            <v>532.35829999999999</v>
          </cell>
          <cell r="E7">
            <v>750</v>
          </cell>
          <cell r="F7" t="str">
            <v>pass</v>
          </cell>
          <cell r="G7">
            <v>267.55200000000002</v>
          </cell>
          <cell r="H7">
            <v>535.10400000000004</v>
          </cell>
          <cell r="I7">
            <v>750</v>
          </cell>
          <cell r="J7" t="str">
            <v>pass</v>
          </cell>
          <cell r="K7">
            <v>0.51576165901801119</v>
          </cell>
          <cell r="L7">
            <v>0.51576165901801119</v>
          </cell>
          <cell r="M7">
            <v>0.99486884792488928</v>
          </cell>
        </row>
        <row r="8">
          <cell r="A8" t="str">
            <v>150 - 4</v>
          </cell>
          <cell r="B8" t="str">
            <v>Line differential</v>
          </cell>
          <cell r="C8">
            <v>206.62229687499999</v>
          </cell>
          <cell r="D8">
            <v>413.24459374999998</v>
          </cell>
          <cell r="E8">
            <v>700</v>
          </cell>
          <cell r="F8" t="str">
            <v>pass</v>
          </cell>
          <cell r="G8">
            <v>207.6225</v>
          </cell>
          <cell r="H8">
            <v>415.245</v>
          </cell>
          <cell r="I8">
            <v>700</v>
          </cell>
          <cell r="J8" t="str">
            <v>pass</v>
          </cell>
          <cell r="K8">
            <v>0.48407318093317997</v>
          </cell>
          <cell r="L8">
            <v>0.48407318093317997</v>
          </cell>
          <cell r="M8">
            <v>0.99518258799022252</v>
          </cell>
        </row>
        <row r="9">
          <cell r="A9" t="str">
            <v>33 - 1</v>
          </cell>
          <cell r="B9" t="str">
            <v>Line differential</v>
          </cell>
          <cell r="C9">
            <v>181.30012529999999</v>
          </cell>
          <cell r="D9">
            <v>362.60025059999998</v>
          </cell>
          <cell r="E9">
            <v>580</v>
          </cell>
          <cell r="F9" t="str">
            <v>pass</v>
          </cell>
          <cell r="G9">
            <v>181.47280000000001</v>
          </cell>
          <cell r="H9">
            <v>362.94549999999998</v>
          </cell>
          <cell r="I9">
            <v>580</v>
          </cell>
          <cell r="J9" t="str">
            <v>pass</v>
          </cell>
          <cell r="K9">
            <v>9.5242460375729365E-2</v>
          </cell>
          <cell r="L9">
            <v>9.5214881795783413E-2</v>
          </cell>
          <cell r="M9">
            <v>0.99904875690702877</v>
          </cell>
        </row>
        <row r="10">
          <cell r="A10" t="str">
            <v>33 - 2</v>
          </cell>
          <cell r="B10" t="str">
            <v>Line differential</v>
          </cell>
          <cell r="C10">
            <v>282.54059166666661</v>
          </cell>
          <cell r="D10">
            <v>565.08118333333323</v>
          </cell>
          <cell r="E10">
            <v>3000</v>
          </cell>
          <cell r="F10" t="str">
            <v>pass</v>
          </cell>
          <cell r="G10">
            <v>283.37869999999998</v>
          </cell>
          <cell r="H10">
            <v>566.75729999999999</v>
          </cell>
          <cell r="I10">
            <v>3000</v>
          </cell>
          <cell r="J10" t="str">
            <v>pass</v>
          </cell>
          <cell r="K10">
            <v>0.29663289383996982</v>
          </cell>
          <cell r="L10">
            <v>0.29661519726769825</v>
          </cell>
          <cell r="M10">
            <v>0.99704262006564937</v>
          </cell>
        </row>
        <row r="11">
          <cell r="A11" t="str">
            <v>33 - 3</v>
          </cell>
          <cell r="B11" t="str">
            <v>Line differential</v>
          </cell>
          <cell r="C11">
            <v>169.42115737500001</v>
          </cell>
          <cell r="D11">
            <v>350.52653249999997</v>
          </cell>
          <cell r="E11">
            <v>680</v>
          </cell>
          <cell r="F11" t="str">
            <v>pass</v>
          </cell>
          <cell r="G11">
            <v>169.78569999999999</v>
          </cell>
          <cell r="H11">
            <v>351.2808</v>
          </cell>
          <cell r="I11">
            <v>680</v>
          </cell>
          <cell r="J11" t="str">
            <v>pass</v>
          </cell>
          <cell r="K11">
            <v>0.21516948098347655</v>
          </cell>
          <cell r="L11">
            <v>0.21518128588455454</v>
          </cell>
          <cell r="M11">
            <v>0.99785280749759164</v>
          </cell>
        </row>
        <row r="12">
          <cell r="A12" t="str">
            <v>33 - 4</v>
          </cell>
          <cell r="B12" t="str">
            <v>Line differential</v>
          </cell>
          <cell r="C12">
            <v>182.42261499999998</v>
          </cell>
          <cell r="D12">
            <v>364.84522999999996</v>
          </cell>
          <cell r="E12">
            <v>760</v>
          </cell>
          <cell r="F12" t="str">
            <v>pass</v>
          </cell>
          <cell r="G12">
            <v>182.86429999999999</v>
          </cell>
          <cell r="H12">
            <v>365.7287</v>
          </cell>
          <cell r="I12">
            <v>760</v>
          </cell>
          <cell r="J12" t="str">
            <v>pass</v>
          </cell>
          <cell r="K12">
            <v>0.24212184437769224</v>
          </cell>
          <cell r="L12">
            <v>0.24214925326009507</v>
          </cell>
          <cell r="M12">
            <v>0.99758435692905689</v>
          </cell>
        </row>
        <row r="13">
          <cell r="A13" t="str">
            <v>33 - 5</v>
          </cell>
          <cell r="B13" t="str">
            <v>Line differential</v>
          </cell>
          <cell r="C13">
            <v>45.377539200000001</v>
          </cell>
          <cell r="D13">
            <v>90.755078400000002</v>
          </cell>
          <cell r="E13">
            <v>240</v>
          </cell>
          <cell r="F13" t="str">
            <v>pass</v>
          </cell>
          <cell r="G13">
            <v>46.0471</v>
          </cell>
          <cell r="H13">
            <v>92.094200000000001</v>
          </cell>
          <cell r="I13">
            <v>240</v>
          </cell>
          <cell r="J13" t="str">
            <v>pass</v>
          </cell>
          <cell r="K13">
            <v>1.4755335168108843</v>
          </cell>
          <cell r="L13">
            <v>1.4755335168108843</v>
          </cell>
          <cell r="M13">
            <v>0.9854592189301824</v>
          </cell>
        </row>
        <row r="14">
          <cell r="A14" t="str">
            <v>220 - 1</v>
          </cell>
          <cell r="B14" t="str">
            <v>Transformer differential</v>
          </cell>
          <cell r="C14">
            <v>172.72266401203899</v>
          </cell>
          <cell r="D14">
            <v>50.064540293344649</v>
          </cell>
          <cell r="E14">
            <v>740</v>
          </cell>
          <cell r="F14" t="str">
            <v>pass</v>
          </cell>
          <cell r="G14">
            <v>195.68709999999999</v>
          </cell>
          <cell r="H14">
            <v>56.7209</v>
          </cell>
          <cell r="I14">
            <v>740</v>
          </cell>
          <cell r="J14" t="str">
            <v>pass</v>
          </cell>
          <cell r="K14">
            <v>13.295554534962676</v>
          </cell>
          <cell r="L14">
            <v>13.295557429776721</v>
          </cell>
          <cell r="M14">
            <v>0.88264714229401597</v>
          </cell>
        </row>
        <row r="15">
          <cell r="A15" t="str">
            <v>150 - 1</v>
          </cell>
          <cell r="B15" t="str">
            <v>Transformer differential</v>
          </cell>
          <cell r="C15">
            <v>220.83624211744689</v>
          </cell>
          <cell r="D15">
            <v>81.791200784239578</v>
          </cell>
          <cell r="E15">
            <v>340</v>
          </cell>
          <cell r="F15" t="str">
            <v>pass</v>
          </cell>
          <cell r="G15">
            <v>242.76939999999999</v>
          </cell>
          <cell r="H15">
            <v>89.914599999999993</v>
          </cell>
          <cell r="I15">
            <v>340</v>
          </cell>
          <cell r="J15" t="str">
            <v>pass</v>
          </cell>
          <cell r="K15">
            <v>9.9318652012238147</v>
          </cell>
          <cell r="L15">
            <v>9.9318742577083157</v>
          </cell>
          <cell r="M15">
            <v>0.90965428066453702</v>
          </cell>
        </row>
        <row r="16">
          <cell r="A16" t="str">
            <v>150 - 2</v>
          </cell>
          <cell r="B16" t="str">
            <v>Transformer differential</v>
          </cell>
          <cell r="C16">
            <v>231.52186673603302</v>
          </cell>
          <cell r="D16">
            <v>308.69582231471065</v>
          </cell>
          <cell r="E16">
            <v>340</v>
          </cell>
          <cell r="F16" t="str">
            <v>pass</v>
          </cell>
          <cell r="G16">
            <v>254.5163</v>
          </cell>
          <cell r="H16">
            <v>339.35509999999999</v>
          </cell>
          <cell r="I16">
            <v>340</v>
          </cell>
          <cell r="J16" t="str">
            <v>pass</v>
          </cell>
          <cell r="K16">
            <v>9.931862414613235</v>
          </cell>
          <cell r="L16">
            <v>9.931873212729343</v>
          </cell>
          <cell r="M16">
            <v>0.90965428931143411</v>
          </cell>
        </row>
        <row r="17">
          <cell r="A17" t="str">
            <v>150 - 3</v>
          </cell>
          <cell r="B17" t="str">
            <v>Transformer differential</v>
          </cell>
          <cell r="C17">
            <v>238.20183605300696</v>
          </cell>
          <cell r="D17">
            <v>88.222902241854428</v>
          </cell>
          <cell r="E17">
            <v>750</v>
          </cell>
          <cell r="F17" t="str">
            <v>pass</v>
          </cell>
          <cell r="G17">
            <v>263.5138</v>
          </cell>
          <cell r="H17">
            <v>97.597700000000003</v>
          </cell>
          <cell r="I17">
            <v>750</v>
          </cell>
          <cell r="J17" t="str">
            <v>pass</v>
          </cell>
          <cell r="K17">
            <v>10.626267356461682</v>
          </cell>
          <cell r="L17">
            <v>10.626263158341231</v>
          </cell>
          <cell r="M17">
            <v>0.9039444806778687</v>
          </cell>
        </row>
        <row r="18">
          <cell r="A18" t="str">
            <v>150 - 4</v>
          </cell>
          <cell r="B18" t="str">
            <v>Transformer differential</v>
          </cell>
          <cell r="C18">
            <v>119.29343872136002</v>
          </cell>
          <cell r="D18">
            <v>53.019306098382224</v>
          </cell>
          <cell r="E18">
            <v>700</v>
          </cell>
          <cell r="F18" t="str">
            <v>pass</v>
          </cell>
          <cell r="G18">
            <v>131.19999999999999</v>
          </cell>
          <cell r="H18">
            <v>58.311100000000003</v>
          </cell>
          <cell r="I18">
            <v>700</v>
          </cell>
          <cell r="J18" t="str">
            <v>pass</v>
          </cell>
          <cell r="K18">
            <v>9.9809020565253093</v>
          </cell>
          <cell r="L18">
            <v>9.9808810997985518</v>
          </cell>
          <cell r="M18">
            <v>0.90924894399835055</v>
          </cell>
        </row>
        <row r="19">
          <cell r="A19" t="str">
            <v>33 - 1</v>
          </cell>
          <cell r="B19" t="str">
            <v>Transformer differential</v>
          </cell>
          <cell r="C19">
            <v>332.29738459069171</v>
          </cell>
          <cell r="D19">
            <v>184.60965810593981</v>
          </cell>
          <cell r="E19">
            <v>580</v>
          </cell>
          <cell r="F19" t="str">
            <v>pass</v>
          </cell>
          <cell r="G19">
            <v>341.44959999999998</v>
          </cell>
          <cell r="H19">
            <v>189.6942</v>
          </cell>
          <cell r="I19">
            <v>580</v>
          </cell>
          <cell r="J19" t="str">
            <v>pass</v>
          </cell>
          <cell r="K19">
            <v>2.7542243284826213</v>
          </cell>
          <cell r="L19">
            <v>2.7542122910722071</v>
          </cell>
          <cell r="M19">
            <v>0.97319611303845777</v>
          </cell>
        </row>
        <row r="20">
          <cell r="A20" t="str">
            <v>33 - 2</v>
          </cell>
          <cell r="B20" t="str">
            <v>Transformer differential</v>
          </cell>
          <cell r="C20">
            <v>648.79216283535402</v>
          </cell>
          <cell r="D20">
            <v>360.44009046408559</v>
          </cell>
          <cell r="E20">
            <v>3000</v>
          </cell>
          <cell r="F20" t="str">
            <v>pass</v>
          </cell>
          <cell r="G20">
            <v>688.47969999999998</v>
          </cell>
          <cell r="H20">
            <v>382.48869999999999</v>
          </cell>
          <cell r="I20">
            <v>3000</v>
          </cell>
          <cell r="J20" t="str">
            <v>pass</v>
          </cell>
          <cell r="K20">
            <v>6.1171418888914104</v>
          </cell>
          <cell r="L20">
            <v>6.1171357235888024</v>
          </cell>
          <cell r="M20">
            <v>0.94235487339648361</v>
          </cell>
        </row>
        <row r="21">
          <cell r="A21" t="str">
            <v>33 - 3</v>
          </cell>
          <cell r="B21" t="str">
            <v>Transformer differential</v>
          </cell>
          <cell r="C21">
            <v>475.27835036412239</v>
          </cell>
          <cell r="D21">
            <v>264.04352798006795</v>
          </cell>
          <cell r="E21">
            <v>680</v>
          </cell>
          <cell r="F21" t="str">
            <v>pass</v>
          </cell>
          <cell r="G21">
            <v>496.36939999999998</v>
          </cell>
          <cell r="H21">
            <v>275.76080000000002</v>
          </cell>
          <cell r="I21">
            <v>680</v>
          </cell>
          <cell r="J21" t="str">
            <v>pass</v>
          </cell>
          <cell r="K21">
            <v>4.4376205269436753</v>
          </cell>
          <cell r="L21">
            <v>4.4376289430644817</v>
          </cell>
          <cell r="M21">
            <v>0.95750929058832124</v>
          </cell>
        </row>
        <row r="22">
          <cell r="A22" t="str">
            <v>33 - 4</v>
          </cell>
          <cell r="B22" t="str">
            <v>Transformer differential</v>
          </cell>
          <cell r="C22">
            <v>511.75142980756897</v>
          </cell>
          <cell r="D22">
            <v>341.16761987171259</v>
          </cell>
          <cell r="E22">
            <v>760</v>
          </cell>
          <cell r="F22" t="str">
            <v>pass</v>
          </cell>
          <cell r="G22">
            <v>537.31539999999995</v>
          </cell>
          <cell r="H22">
            <v>358.21030000000002</v>
          </cell>
          <cell r="I22">
            <v>760</v>
          </cell>
          <cell r="J22" t="str">
            <v>pass</v>
          </cell>
          <cell r="K22">
            <v>4.9953881324852745</v>
          </cell>
          <cell r="L22">
            <v>4.9953979028537105</v>
          </cell>
          <cell r="M22">
            <v>0.95242269658832412</v>
          </cell>
        </row>
        <row r="23">
          <cell r="A23" t="str">
            <v>33 - 5</v>
          </cell>
          <cell r="B23" t="str">
            <v>Transformer differential</v>
          </cell>
          <cell r="C23">
            <v>85.060826208710381</v>
          </cell>
          <cell r="D23">
            <v>70.884021840591984</v>
          </cell>
          <cell r="E23">
            <v>240</v>
          </cell>
          <cell r="F23" t="str">
            <v>pass</v>
          </cell>
          <cell r="G23">
            <v>109.0184</v>
          </cell>
          <cell r="H23">
            <v>90.848699999999994</v>
          </cell>
          <cell r="I23">
            <v>240</v>
          </cell>
          <cell r="J23" t="str">
            <v>pass</v>
          </cell>
          <cell r="K23">
            <v>28.165225826170399</v>
          </cell>
          <cell r="L23">
            <v>28.165272851342593</v>
          </cell>
          <cell r="M23">
            <v>0.78024255537604814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edrik Schall" id="{31EFFD32-39B4-41BF-A004-5560C86199D0}" userId="S::fredrik.schall@hitachienergy.com::3c9a6b90-6899-4fa0-af37-1863cceaa38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87511-260E-49BD-A6AE-C00B801A27AA}" name="Tabelle22" displayName="Tabelle22" ref="A3:S13" totalsRowShown="0">
  <autoFilter ref="A3:S13" xr:uid="{EC3A86F2-9872-4EB5-8DDD-F19FCE9338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sortState xmlns:xlrd2="http://schemas.microsoft.com/office/spreadsheetml/2017/richdata2" ref="A4:S13">
    <sortCondition descending="1" ref="H3:H13"/>
  </sortState>
  <tableColumns count="19">
    <tableColumn id="3" xr3:uid="{590BBD7F-52C6-43C8-9CA7-8A59E7124C53}" name="Core Nr." dataDxfId="86"/>
    <tableColumn id="27" xr3:uid="{2C796E4D-58DA-434F-A277-DA3D21F47D5E}" name="Nr." dataDxfId="85"/>
    <tableColumn id="1" xr3:uid="{6E86F7AF-7892-46F9-95FF-DC6AB0E213ED}" name="Ikmax" dataDxfId="84"/>
    <tableColumn id="2" xr3:uid="{15F45EBB-89BC-429D-A31A-09FE17455F56}" name="Itmax" dataDxfId="83"/>
    <tableColumn id="6" xr3:uid="{BB016D0C-6370-4999-8A27-63216D2BBDDE}" name="Irt" dataDxfId="82"/>
    <tableColumn id="7" xr3:uid="{9E2BA34D-3A7C-432A-83FD-23E866095C30}" name="Itf" dataDxfId="81"/>
    <tableColumn id="9" xr3:uid="{6E7CD90B-5B31-487F-86DC-A026F295E32F}" name="TMVA" dataDxfId="80"/>
    <tableColumn id="10" xr3:uid="{29FDE697-5237-40D5-ADD1-DCB7D96BBDC3}" name="Un" dataDxfId="79"/>
    <tableColumn id="11" xr3:uid="{61256B12-EAA4-4B3C-8CCC-89A899EFCEFF}" name="Zt" dataDxfId="78"/>
    <tableColumn id="12" xr3:uid="{B801E97D-36C7-4C0A-A2FC-12AB33D0CBAD}" name="Ipr" dataDxfId="77"/>
    <tableColumn id="13" xr3:uid="{3FA817DC-4D1A-4833-91A6-2D0259E948BC}" name="Isr" dataDxfId="76"/>
    <tableColumn id="20" xr3:uid="{59FEF509-363C-454A-8606-06A7208F9087}" name="ALF" dataDxfId="75"/>
    <tableColumn id="14" xr3:uid="{B9D6BA6E-B52B-47E1-9C4C-7A5C928720E6}" name="Rl" dataDxfId="74">
      <calculatedColumnFormula>0.0175*Tabelle22[[#This Row],[cabel length]]/Tabelle22[[#This Row],[cable diameter]]*(1+0.00393*(Tabelle22[[#This Row],[max Temperatur]]-20))</calculatedColumnFormula>
    </tableColumn>
    <tableColumn id="15" xr3:uid="{5098684A-7EBC-412C-86D4-D184F182B047}" name="Rct" dataDxfId="73"/>
    <tableColumn id="16" xr3:uid="{7914444B-C054-4A85-8309-631E2A6FCED5}" name="Sr" dataDxfId="72"/>
    <tableColumn id="21" xr3:uid="{F9D8E1D1-9F1B-4755-AF3A-09BA461EB7FA}" name="Sn" dataDxfId="71"/>
    <tableColumn id="17" xr3:uid="{CCA46CF4-CE50-4DD2-9F6E-AD3DD8C51DB9}" name="cabel length" dataDxfId="70"/>
    <tableColumn id="18" xr3:uid="{5B861BDF-6838-4D7D-BEFB-03CB8474F253}" name="cable diameter" dataDxfId="69"/>
    <tableColumn id="19" xr3:uid="{606661E5-64FA-47C9-B192-B31DE204991E}" name="max Temperatur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31BE9-BBEB-421F-B978-98ED2A6F7317}" name="ResultsComparison" displayName="ResultsComparison" ref="A3:O23" totalsRowShown="0" headerRowDxfId="67" dataDxfId="65" headerRowBorderDxfId="66" tableBorderDxfId="64" totalsRowBorderDxfId="63">
  <autoFilter ref="A3:O23" xr:uid="{07E31BE9-BBEB-421F-B978-98ED2A6F7317}"/>
  <tableColumns count="15">
    <tableColumn id="1" xr3:uid="{5E081624-755D-40E7-BBCA-37C69D0668CC}" name="Calculation sheet" dataDxfId="62"/>
    <tableColumn id="2" xr3:uid="{FA5B3C90-ED53-4442-A5EE-A3F7575324C3}" name="Protection function" dataDxfId="61"/>
    <tableColumn id="3" xr3:uid="{AA885235-110D-4E0A-97FE-B1523D70D4F7}" name="Excel criterion 1 (V)" dataDxfId="60"/>
    <tableColumn id="4" xr3:uid="{C4D96AA6-6954-4BAC-9D66-F56670FBFCD5}" name="Excel criterion 2 (V)" dataDxfId="59"/>
    <tableColumn id="5" xr3:uid="{9D7BB131-327E-4AA3-A5CF-67765B47C234}" name="Excel proposed Eal (V)" dataDxfId="58"/>
    <tableColumn id="6" xr3:uid="{F0070320-03A4-4CED-87DD-1927675D87F0}" name="Excel status" dataDxfId="57">
      <calculatedColumnFormula>IF(AND(C4&lt;=E4,D4&lt;=E4),"pass","fail")</calculatedColumnFormula>
    </tableColumn>
    <tableColumn id="7" xr3:uid="{9EB2F1CF-5340-405E-B962-1AB56586E007}" name="SECP criterion 1 (V)" dataDxfId="56"/>
    <tableColumn id="8" xr3:uid="{7410D75C-BD3F-475F-9EE5-6888BA2A53B7}" name="SECP criterion 2 (V)" dataDxfId="55"/>
    <tableColumn id="9" xr3:uid="{CDDD4C00-42DE-4D9C-9D11-576E96C8F893}" name="SECP proposed Eal (V)" dataDxfId="54"/>
    <tableColumn id="10" xr3:uid="{677D0D7F-E8E8-429B-9921-198507286CCC}" name="SECP status" dataDxfId="53">
      <calculatedColumnFormula>IF(AND(G4&lt;=I4,H4&lt;=I4),"pass","fail")</calculatedColumnFormula>
    </tableColumn>
    <tableColumn id="11" xr3:uid="{4D6EC07F-1AD4-444B-BA7B-659563936084}" name="Spalte1" dataDxfId="52">
      <calculatedColumnFormula>ResultsComparison[[#This Row],[SECP criterion 1 (V)]]/ResultsComparison[[#This Row],[Excel criterion 1 (V)]]*100-100</calculatedColumnFormula>
    </tableColumn>
    <tableColumn id="12" xr3:uid="{A862EBC3-3834-4299-8011-AC3BC92C373E}" name="Spalte 2" dataDxfId="51">
      <calculatedColumnFormula>ResultsComparison[[#This Row],[SECP criterion 2 (V)]]/ResultsComparison[[#This Row],[Excel criterion 2 (V)]]*100-100</calculatedColumnFormula>
    </tableColumn>
    <tableColumn id="13" xr3:uid="{811CFBF4-79BE-49DB-A2C4-678FDD49FDCE}" name="Excel / SECP (%)" dataDxfId="50">
      <calculatedColumnFormula>ResultsComparison[[#This Row],[Excel criterion 2 (V)]]/ResultsComparison[[#This Row],[SECP criterion 2 (V)]]</calculatedColumnFormula>
    </tableColumn>
    <tableColumn id="14" xr3:uid="{EE04F360-0512-40C3-AF99-C7C76B0302CE}" name="RL SECP (Ohm)" dataDxfId="49"/>
    <tableColumn id="15" xr3:uid="{899C1B4B-BB41-43AC-BD21-654D7EBA26A7}" name="RL Error (%)" dataDxfId="48" dataCellStyle="Prozent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D8D8D8"/>
      </a:dk2>
      <a:lt2>
        <a:srgbClr val="7F7F7F"/>
      </a:lt2>
      <a:accent1>
        <a:srgbClr val="FF0024"/>
      </a:accent1>
      <a:accent2>
        <a:srgbClr val="7E000A"/>
      </a:accent2>
      <a:accent3>
        <a:srgbClr val="8CC63F"/>
      </a:accent3>
      <a:accent4>
        <a:srgbClr val="2F8C16"/>
      </a:accent4>
      <a:accent5>
        <a:srgbClr val="80C4FF"/>
      </a:accent5>
      <a:accent6>
        <a:srgbClr val="093FB4"/>
      </a:accent6>
      <a:hlink>
        <a:srgbClr val="FF0026"/>
      </a:hlink>
      <a:folHlink>
        <a:srgbClr val="B1000E"/>
      </a:folHlink>
    </a:clrScheme>
    <a:fontScheme name="Hitachi Energy">
      <a:majorFont>
        <a:latin typeface="Verdana"/>
        <a:ea typeface="SimSun"/>
        <a:cs typeface="Times New Roman"/>
      </a:majorFont>
      <a:minorFont>
        <a:latin typeface="Verdana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0" dT="2026-08-06T08:58:06.71" personId="{31EFFD32-39B4-41BF-A004-5560C86199D0}" id="{11EA48EF-AFC6-468E-93B0-C5C825126EF1}">
    <text xml:space="preserve">1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898-1FBA-4210-9DEF-701C415FD4CA}">
  <sheetPr>
    <tabColor theme="6" tint="0.79998168889431442"/>
  </sheetPr>
  <dimension ref="A2:S13"/>
  <sheetViews>
    <sheetView zoomScale="85" zoomScaleNormal="85" workbookViewId="0">
      <pane xSplit="1" topLeftCell="B1" activePane="topRight" state="frozen"/>
      <selection pane="topRight" activeCell="A5" sqref="A5"/>
    </sheetView>
  </sheetViews>
  <sheetFormatPr baseColWidth="10" defaultRowHeight="13.8" x14ac:dyDescent="0.25"/>
  <cols>
    <col min="1" max="1" width="10.90625" style="13"/>
    <col min="2" max="2" width="4.81640625" style="13" bestFit="1" customWidth="1"/>
    <col min="3" max="4" width="8.36328125" style="13" customWidth="1"/>
    <col min="5" max="6" width="11.54296875" style="13" bestFit="1" customWidth="1"/>
    <col min="7" max="10" width="10.90625" style="13"/>
    <col min="11" max="11" width="10.54296875" style="13" hidden="1" customWidth="1"/>
    <col min="12" max="12" width="10.54296875" style="13" customWidth="1"/>
    <col min="13" max="13" width="8" style="13" hidden="1" customWidth="1"/>
    <col min="14" max="14" width="6.90625" style="13" customWidth="1"/>
    <col min="15" max="16" width="10.90625" style="13"/>
    <col min="17" max="17" width="9.1796875" style="13" bestFit="1" customWidth="1"/>
    <col min="18" max="18" width="11" style="13" bestFit="1" customWidth="1"/>
    <col min="19" max="19" width="12.1796875" style="13" bestFit="1" customWidth="1"/>
    <col min="20" max="16384" width="10.90625" style="13"/>
  </cols>
  <sheetData>
    <row r="2" spans="1:19" x14ac:dyDescent="0.25">
      <c r="C2" s="77" t="s">
        <v>65</v>
      </c>
      <c r="D2" s="78"/>
      <c r="E2" s="77" t="s">
        <v>64</v>
      </c>
      <c r="F2" s="78"/>
      <c r="G2" s="77" t="s">
        <v>63</v>
      </c>
      <c r="H2" s="78"/>
      <c r="I2" s="79"/>
      <c r="J2" s="77" t="s">
        <v>62</v>
      </c>
      <c r="K2" s="78"/>
      <c r="L2" s="78"/>
      <c r="M2" s="78"/>
      <c r="N2" s="78"/>
      <c r="O2" s="78"/>
      <c r="P2" s="79"/>
      <c r="Q2" s="76" t="s">
        <v>61</v>
      </c>
      <c r="R2" s="76"/>
      <c r="S2" s="76"/>
    </row>
    <row r="3" spans="1:19" x14ac:dyDescent="0.25">
      <c r="A3" s="14" t="s">
        <v>60</v>
      </c>
      <c r="B3" s="14" t="s">
        <v>59</v>
      </c>
      <c r="C3" s="14" t="s">
        <v>56</v>
      </c>
      <c r="D3" s="14" t="s">
        <v>55</v>
      </c>
      <c r="E3" s="14" t="s">
        <v>54</v>
      </c>
      <c r="F3" s="14" t="s">
        <v>53</v>
      </c>
      <c r="G3" s="14" t="s">
        <v>52</v>
      </c>
      <c r="H3" s="14" t="s">
        <v>50</v>
      </c>
      <c r="I3" s="14" t="s">
        <v>51</v>
      </c>
      <c r="J3" s="14" t="s">
        <v>49</v>
      </c>
      <c r="K3" s="14" t="s">
        <v>48</v>
      </c>
      <c r="L3" s="14" t="s">
        <v>58</v>
      </c>
      <c r="M3" s="14" t="s">
        <v>47</v>
      </c>
      <c r="N3" s="14" t="s">
        <v>46</v>
      </c>
      <c r="O3" s="14" t="s">
        <v>45</v>
      </c>
      <c r="P3" s="14" t="s">
        <v>57</v>
      </c>
      <c r="Q3" s="14" t="s">
        <v>3</v>
      </c>
      <c r="R3" s="14" t="s">
        <v>5</v>
      </c>
      <c r="S3" s="14" t="s">
        <v>1</v>
      </c>
    </row>
    <row r="4" spans="1:19" x14ac:dyDescent="0.25">
      <c r="A4" s="14">
        <v>1</v>
      </c>
      <c r="B4" s="14">
        <v>1</v>
      </c>
      <c r="C4" s="15">
        <v>50</v>
      </c>
      <c r="D4" s="15">
        <v>50</v>
      </c>
      <c r="E4" s="15">
        <v>0.5</v>
      </c>
      <c r="F4" s="15">
        <v>2</v>
      </c>
      <c r="G4" s="17">
        <v>220</v>
      </c>
      <c r="H4" s="17">
        <v>220</v>
      </c>
      <c r="I4" s="15">
        <v>23</v>
      </c>
      <c r="J4" s="14">
        <v>800</v>
      </c>
      <c r="K4" s="14">
        <v>1</v>
      </c>
      <c r="L4" s="14">
        <v>20</v>
      </c>
      <c r="M4" s="16">
        <f>0.0175*Tabelle22[[#This Row],[cabel length]]/Tabelle22[[#This Row],[cable diameter]]*(1+0.00393*(Tabelle22[[#This Row],[max Temperatur]]-20))</f>
        <v>0.4788590625000001</v>
      </c>
      <c r="N4" s="14">
        <v>7</v>
      </c>
      <c r="O4" s="14">
        <v>0.02</v>
      </c>
      <c r="P4" s="14">
        <v>30</v>
      </c>
      <c r="Q4" s="14">
        <v>90</v>
      </c>
      <c r="R4" s="14">
        <v>4</v>
      </c>
      <c r="S4" s="14">
        <v>75</v>
      </c>
    </row>
    <row r="5" spans="1:19" x14ac:dyDescent="0.25">
      <c r="A5" s="14">
        <v>1</v>
      </c>
      <c r="B5" s="14">
        <v>4</v>
      </c>
      <c r="C5" s="15">
        <v>6.6</v>
      </c>
      <c r="D5" s="15">
        <v>50</v>
      </c>
      <c r="E5" s="15">
        <v>1.2</v>
      </c>
      <c r="F5" s="15">
        <v>6.6</v>
      </c>
      <c r="G5" s="17">
        <v>310</v>
      </c>
      <c r="H5" s="17">
        <v>150</v>
      </c>
      <c r="I5" s="15">
        <v>18</v>
      </c>
      <c r="J5" s="14">
        <v>1250</v>
      </c>
      <c r="K5" s="14">
        <v>1</v>
      </c>
      <c r="L5" s="14">
        <v>20</v>
      </c>
      <c r="M5" s="14">
        <f>0.0175*Tabelle22[[#This Row],[cabel length]]/Tabelle22[[#This Row],[cable diameter]]*(1+0.00393*(Tabelle22[[#This Row],[max Temperatur]]-20))</f>
        <v>0.34584265625000005</v>
      </c>
      <c r="N5" s="14">
        <v>7</v>
      </c>
      <c r="O5" s="14">
        <v>0.02</v>
      </c>
      <c r="P5" s="14">
        <v>10</v>
      </c>
      <c r="Q5" s="14">
        <v>65</v>
      </c>
      <c r="R5" s="14">
        <v>4</v>
      </c>
      <c r="S5" s="14">
        <v>75</v>
      </c>
    </row>
    <row r="6" spans="1:19" x14ac:dyDescent="0.25">
      <c r="A6" s="14">
        <v>2</v>
      </c>
      <c r="B6" s="14">
        <v>5</v>
      </c>
      <c r="C6" s="15">
        <v>29</v>
      </c>
      <c r="D6" s="15">
        <v>40</v>
      </c>
      <c r="E6" s="15">
        <v>1.25</v>
      </c>
      <c r="F6" s="15">
        <v>29</v>
      </c>
      <c r="G6" s="17">
        <v>325</v>
      </c>
      <c r="H6" s="17">
        <v>150</v>
      </c>
      <c r="I6" s="15">
        <v>5</v>
      </c>
      <c r="J6" s="14">
        <v>1250</v>
      </c>
      <c r="K6" s="14">
        <v>1</v>
      </c>
      <c r="L6" s="14">
        <v>20</v>
      </c>
      <c r="M6" s="14">
        <f>0.0175*Tabelle22[[#This Row],[cabel length]]/Tabelle22[[#This Row],[cable diameter]]*(1+0.00393*(Tabelle22[[#This Row],[max Temperatur]]-20))</f>
        <v>0.34584265625000005</v>
      </c>
      <c r="N6" s="14">
        <v>7</v>
      </c>
      <c r="O6" s="14">
        <v>0.02</v>
      </c>
      <c r="P6" s="14">
        <v>10</v>
      </c>
      <c r="Q6" s="14">
        <v>65</v>
      </c>
      <c r="R6" s="14">
        <v>4</v>
      </c>
      <c r="S6" s="14">
        <v>75</v>
      </c>
    </row>
    <row r="7" spans="1:19" x14ac:dyDescent="0.25">
      <c r="A7" s="14">
        <v>3</v>
      </c>
      <c r="B7" s="14">
        <v>7</v>
      </c>
      <c r="C7" s="15">
        <v>40</v>
      </c>
      <c r="D7" s="15">
        <v>40</v>
      </c>
      <c r="E7" s="15">
        <v>1.1930000000000001</v>
      </c>
      <c r="F7" s="15">
        <v>8</v>
      </c>
      <c r="G7" s="17">
        <v>310</v>
      </c>
      <c r="H7" s="17">
        <v>150</v>
      </c>
      <c r="I7" s="15">
        <v>18</v>
      </c>
      <c r="J7" s="14">
        <v>1250</v>
      </c>
      <c r="K7" s="14">
        <v>1</v>
      </c>
      <c r="L7" s="14">
        <v>20</v>
      </c>
      <c r="M7" s="16">
        <f>0.0175*Tabelle22[[#This Row],[cabel length]]/Tabelle22[[#This Row],[cable diameter]]*(1+0.00393*(Tabelle22[[#This Row],[max Temperatur]]-20))</f>
        <v>0.3990492187500001</v>
      </c>
      <c r="N7" s="14">
        <v>7.5</v>
      </c>
      <c r="O7" s="14">
        <v>0.02</v>
      </c>
      <c r="P7" s="14">
        <v>30</v>
      </c>
      <c r="Q7" s="14">
        <v>75</v>
      </c>
      <c r="R7" s="14">
        <v>4</v>
      </c>
      <c r="S7" s="14">
        <v>75</v>
      </c>
    </row>
    <row r="8" spans="1:19" x14ac:dyDescent="0.25">
      <c r="A8" s="14">
        <v>4</v>
      </c>
      <c r="B8" s="14">
        <v>10</v>
      </c>
      <c r="C8" s="15">
        <v>40</v>
      </c>
      <c r="D8" s="15">
        <v>40</v>
      </c>
      <c r="E8" s="15">
        <v>0.8</v>
      </c>
      <c r="F8" s="15">
        <v>6</v>
      </c>
      <c r="G8" s="17">
        <v>200</v>
      </c>
      <c r="H8" s="17">
        <v>150</v>
      </c>
      <c r="I8" s="15">
        <v>15</v>
      </c>
      <c r="J8" s="14">
        <v>1600</v>
      </c>
      <c r="K8" s="14">
        <v>1</v>
      </c>
      <c r="L8" s="14">
        <v>40</v>
      </c>
      <c r="M8" s="16">
        <f>0.0175*Tabelle22[[#This Row],[cabel length]]/Tabelle22[[#This Row],[cable diameter]]*(1+0.00393*(Tabelle22[[#This Row],[max Temperatur]]-20))</f>
        <v>0.37244593750000005</v>
      </c>
      <c r="N8" s="14">
        <v>7.5</v>
      </c>
      <c r="O8" s="14">
        <v>0.02</v>
      </c>
      <c r="P8" s="14">
        <v>10</v>
      </c>
      <c r="Q8" s="14">
        <v>70</v>
      </c>
      <c r="R8" s="14">
        <v>4</v>
      </c>
      <c r="S8" s="14">
        <v>75</v>
      </c>
    </row>
    <row r="9" spans="1:19" x14ac:dyDescent="0.25">
      <c r="A9" s="14">
        <v>1</v>
      </c>
      <c r="B9" s="14">
        <v>2</v>
      </c>
      <c r="C9" s="15">
        <v>31.5</v>
      </c>
      <c r="D9" s="15">
        <v>31.5</v>
      </c>
      <c r="E9" s="15">
        <v>2</v>
      </c>
      <c r="F9" s="15">
        <v>16</v>
      </c>
      <c r="G9" s="17">
        <v>110</v>
      </c>
      <c r="H9" s="17">
        <v>33</v>
      </c>
      <c r="I9" s="15">
        <v>12</v>
      </c>
      <c r="J9" s="14">
        <v>2500</v>
      </c>
      <c r="K9" s="14">
        <v>1</v>
      </c>
      <c r="L9" s="14">
        <v>20</v>
      </c>
      <c r="M9" s="14">
        <f>0.0175*Tabelle22[[#This Row],[cabel length]]/Tabelle22[[#This Row],[cable diameter]]*(1+0.00393*(Tabelle22[[#This Row],[max Temperatur]]-20))</f>
        <v>0.18444941666666673</v>
      </c>
      <c r="N9" s="14">
        <v>14</v>
      </c>
      <c r="O9" s="14">
        <v>0.02</v>
      </c>
      <c r="P9" s="14">
        <v>15</v>
      </c>
      <c r="Q9" s="14">
        <v>13</v>
      </c>
      <c r="R9" s="14">
        <v>1.5</v>
      </c>
      <c r="S9" s="14">
        <v>75</v>
      </c>
    </row>
    <row r="10" spans="1:19" x14ac:dyDescent="0.25">
      <c r="A10" s="14">
        <v>2</v>
      </c>
      <c r="B10" s="14">
        <v>3</v>
      </c>
      <c r="C10" s="15">
        <v>40</v>
      </c>
      <c r="D10" s="15">
        <v>40</v>
      </c>
      <c r="E10" s="15">
        <v>2.7</v>
      </c>
      <c r="F10" s="15">
        <v>29</v>
      </c>
      <c r="G10" s="17">
        <v>175</v>
      </c>
      <c r="H10" s="17">
        <v>33</v>
      </c>
      <c r="I10" s="15">
        <v>12</v>
      </c>
      <c r="J10" s="14">
        <v>3000</v>
      </c>
      <c r="K10" s="14">
        <v>1</v>
      </c>
      <c r="L10" s="14">
        <v>60</v>
      </c>
      <c r="M10" s="14">
        <f>0.0175*Tabelle22[[#This Row],[cabel length]]/Tabelle22[[#This Row],[cable diameter]]*(1+0.00393*(Tabelle22[[#This Row],[max Temperatur]]-20))</f>
        <v>0.5852721875000001</v>
      </c>
      <c r="N10" s="14">
        <v>20</v>
      </c>
      <c r="O10" s="14">
        <v>0.02</v>
      </c>
      <c r="P10" s="14">
        <v>30</v>
      </c>
      <c r="Q10" s="14">
        <v>110</v>
      </c>
      <c r="R10" s="14">
        <v>4</v>
      </c>
      <c r="S10" s="14">
        <v>75</v>
      </c>
    </row>
    <row r="11" spans="1:19" x14ac:dyDescent="0.25">
      <c r="A11" s="14">
        <v>3</v>
      </c>
      <c r="B11" s="14">
        <v>6</v>
      </c>
      <c r="C11" s="15">
        <v>29</v>
      </c>
      <c r="D11" s="15">
        <v>30</v>
      </c>
      <c r="E11" s="15">
        <v>2.7</v>
      </c>
      <c r="F11" s="15">
        <v>25</v>
      </c>
      <c r="G11" s="17">
        <v>155</v>
      </c>
      <c r="H11" s="17">
        <v>33</v>
      </c>
      <c r="I11" s="15">
        <v>12</v>
      </c>
      <c r="J11" s="14">
        <v>2500</v>
      </c>
      <c r="K11" s="14">
        <v>1</v>
      </c>
      <c r="L11" s="14">
        <v>20</v>
      </c>
      <c r="M11" s="14">
        <f>0.0175*Tabelle22[[#This Row],[cabel length]]/Tabelle22[[#This Row],[cable diameter]]*(1+0.00393*(Tabelle22[[#This Row],[max Temperatur]]-20))</f>
        <v>0.29263609375000005</v>
      </c>
      <c r="N11" s="14">
        <v>14</v>
      </c>
      <c r="O11" s="14">
        <v>0.02</v>
      </c>
      <c r="P11" s="14">
        <v>20</v>
      </c>
      <c r="Q11" s="14">
        <v>55</v>
      </c>
      <c r="R11" s="14">
        <v>4</v>
      </c>
      <c r="S11" s="14">
        <v>75</v>
      </c>
    </row>
    <row r="12" spans="1:19" x14ac:dyDescent="0.25">
      <c r="A12" s="14">
        <v>4</v>
      </c>
      <c r="B12" s="14">
        <v>8</v>
      </c>
      <c r="C12" s="15">
        <v>29</v>
      </c>
      <c r="D12" s="15">
        <v>29</v>
      </c>
      <c r="E12" s="15">
        <v>2.7120000000000002</v>
      </c>
      <c r="F12" s="15">
        <v>25</v>
      </c>
      <c r="G12" s="17">
        <v>155</v>
      </c>
      <c r="H12" s="17">
        <v>33</v>
      </c>
      <c r="I12" s="15">
        <v>10</v>
      </c>
      <c r="J12" s="14">
        <v>3000</v>
      </c>
      <c r="K12" s="14">
        <v>1</v>
      </c>
      <c r="L12" s="14">
        <v>20</v>
      </c>
      <c r="M12" s="16">
        <f>0.0175*Tabelle22[[#This Row],[cabel length]]/Tabelle22[[#This Row],[cable diameter]]*(1+0.00393*(Tabelle22[[#This Row],[max Temperatur]]-20))</f>
        <v>0.42565250000000004</v>
      </c>
      <c r="N12" s="14">
        <v>18</v>
      </c>
      <c r="O12" s="14">
        <v>0.02</v>
      </c>
      <c r="P12" s="14">
        <v>20</v>
      </c>
      <c r="Q12" s="14">
        <v>80</v>
      </c>
      <c r="R12" s="14">
        <v>4</v>
      </c>
      <c r="S12" s="14">
        <v>75</v>
      </c>
    </row>
    <row r="13" spans="1:19" x14ac:dyDescent="0.25">
      <c r="A13" s="14">
        <v>5</v>
      </c>
      <c r="B13" s="14">
        <v>9</v>
      </c>
      <c r="C13" s="15">
        <v>8.4</v>
      </c>
      <c r="D13" s="15">
        <v>8.4</v>
      </c>
      <c r="E13" s="15">
        <v>0.5</v>
      </c>
      <c r="F13" s="15">
        <v>6</v>
      </c>
      <c r="G13" s="17">
        <v>30</v>
      </c>
      <c r="H13" s="17">
        <v>33</v>
      </c>
      <c r="I13" s="15">
        <v>8</v>
      </c>
      <c r="J13" s="14">
        <v>500</v>
      </c>
      <c r="K13" s="14">
        <v>1</v>
      </c>
      <c r="L13" s="14">
        <v>20</v>
      </c>
      <c r="M13" s="16">
        <f>0.0175*Tabelle22[[#This Row],[cabel length]]/Tabelle22[[#This Row],[cable diameter]]*(1+0.00393*(Tabelle22[[#This Row],[max Temperatur]]-20))</f>
        <v>0.34052200000000005</v>
      </c>
      <c r="N13" s="14">
        <v>2</v>
      </c>
      <c r="O13" s="14">
        <v>0.02</v>
      </c>
      <c r="P13" s="14">
        <v>10</v>
      </c>
      <c r="Q13" s="14">
        <v>40</v>
      </c>
      <c r="R13" s="14">
        <v>2.5</v>
      </c>
      <c r="S13" s="14">
        <v>75</v>
      </c>
    </row>
  </sheetData>
  <mergeCells count="5">
    <mergeCell ref="Q2:S2"/>
    <mergeCell ref="J2:P2"/>
    <mergeCell ref="C2:D2"/>
    <mergeCell ref="E2:F2"/>
    <mergeCell ref="G2:I2"/>
  </mergeCells>
  <pageMargins left="0.7" right="0.7" top="0.78740157499999996" bottom="0.78740157499999996" header="0.3" footer="0.3"/>
  <pageSetup paperSize="9" orientation="portrait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AB44-CD50-4102-A670-BB4AA23AFFE0}">
  <sheetPr>
    <tabColor theme="4" tint="0.79998168889431442"/>
    <pageSetUpPr fitToPage="1"/>
  </sheetPr>
  <dimension ref="B1:D33"/>
  <sheetViews>
    <sheetView tabSelected="1" view="pageBreakPreview" zoomScale="115" zoomScaleNormal="115" zoomScaleSheetLayoutView="115" workbookViewId="0">
      <selection activeCell="D11" sqref="D11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</cols>
  <sheetData>
    <row r="1" spans="2:4" ht="21" x14ac:dyDescent="0.25">
      <c r="B1" s="86" t="s">
        <v>44</v>
      </c>
      <c r="C1" s="86"/>
      <c r="D1" s="86"/>
    </row>
    <row r="2" spans="2:4" x14ac:dyDescent="0.25">
      <c r="B2" s="87" t="s">
        <v>43</v>
      </c>
      <c r="C2" s="88"/>
      <c r="D2" s="88"/>
    </row>
    <row r="3" spans="2:4" x14ac:dyDescent="0.25">
      <c r="B3" s="5" t="s">
        <v>32</v>
      </c>
      <c r="C3" s="10">
        <v>90</v>
      </c>
      <c r="D3" s="2" t="s">
        <v>4</v>
      </c>
    </row>
    <row r="4" spans="2:4" x14ac:dyDescent="0.25">
      <c r="B4" s="5" t="s">
        <v>33</v>
      </c>
      <c r="C4" s="10">
        <v>4</v>
      </c>
      <c r="D4" s="2" t="s">
        <v>6</v>
      </c>
    </row>
    <row r="5" spans="2:4" x14ac:dyDescent="0.25">
      <c r="B5" s="5" t="s">
        <v>34</v>
      </c>
      <c r="C5" s="10">
        <v>75</v>
      </c>
      <c r="D5" s="2" t="s">
        <v>2</v>
      </c>
    </row>
    <row r="6" spans="2:4" x14ac:dyDescent="0.25">
      <c r="B6" s="5" t="s">
        <v>13</v>
      </c>
      <c r="C6" s="10">
        <v>14</v>
      </c>
      <c r="D6" s="2" t="s">
        <v>14</v>
      </c>
    </row>
    <row r="7" spans="2:4" x14ac:dyDescent="0.25">
      <c r="B7" s="5" t="s">
        <v>9</v>
      </c>
      <c r="C7" s="10">
        <v>2500</v>
      </c>
      <c r="D7" s="2" t="s">
        <v>0</v>
      </c>
    </row>
    <row r="8" spans="2:4" x14ac:dyDescent="0.25">
      <c r="B8" s="5" t="s">
        <v>10</v>
      </c>
      <c r="C8" s="10">
        <v>1</v>
      </c>
      <c r="D8" s="2" t="s">
        <v>0</v>
      </c>
    </row>
    <row r="9" spans="2:4" x14ac:dyDescent="0.25">
      <c r="B9" s="5" t="s">
        <v>11</v>
      </c>
      <c r="C9" s="10">
        <v>0.02</v>
      </c>
      <c r="D9" s="2" t="s">
        <v>12</v>
      </c>
    </row>
    <row r="10" spans="2:4" x14ac:dyDescent="0.25">
      <c r="B10" s="5" t="s">
        <v>35</v>
      </c>
      <c r="C10" s="10">
        <v>20</v>
      </c>
      <c r="D10" s="2"/>
    </row>
    <row r="11" spans="2:4" x14ac:dyDescent="0.25">
      <c r="B11" s="5" t="s">
        <v>36</v>
      </c>
      <c r="C11" s="10">
        <v>30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14.977718124999999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880</v>
      </c>
      <c r="D14" s="2" t="s">
        <v>21</v>
      </c>
    </row>
    <row r="15" spans="2:4" x14ac:dyDescent="0.25">
      <c r="B15" s="94"/>
      <c r="D15" s="95"/>
    </row>
    <row r="17" spans="2:4" x14ac:dyDescent="0.25">
      <c r="B17" s="83" t="s">
        <v>87</v>
      </c>
      <c r="C17" s="84"/>
      <c r="D17" s="85"/>
    </row>
    <row r="18" spans="2:4" x14ac:dyDescent="0.25">
      <c r="B18" s="90" t="s">
        <v>8</v>
      </c>
      <c r="C18" s="91"/>
      <c r="D18" s="92"/>
    </row>
    <row r="19" spans="2:4" x14ac:dyDescent="0.25">
      <c r="B19" s="18" t="s">
        <v>90</v>
      </c>
      <c r="C19" s="10">
        <v>1000</v>
      </c>
      <c r="D19" s="2" t="s">
        <v>0</v>
      </c>
    </row>
    <row r="20" spans="2:4" x14ac:dyDescent="0.25">
      <c r="B20" s="18" t="s">
        <v>94</v>
      </c>
      <c r="C20" s="10">
        <v>31500</v>
      </c>
      <c r="D20" s="2" t="s">
        <v>0</v>
      </c>
    </row>
    <row r="21" spans="2:4" x14ac:dyDescent="0.25">
      <c r="B21" s="80" t="s">
        <v>42</v>
      </c>
      <c r="C21" s="81"/>
      <c r="D21" s="82"/>
    </row>
    <row r="22" spans="2:4" x14ac:dyDescent="0.25">
      <c r="B22" s="18" t="s">
        <v>88</v>
      </c>
      <c r="C22" s="11">
        <f>20*C19*C8/C7*(C6+C11/C8^2)</f>
        <v>352</v>
      </c>
      <c r="D22" s="2" t="s">
        <v>21</v>
      </c>
    </row>
    <row r="23" spans="2:4" x14ac:dyDescent="0.25">
      <c r="B23" s="18" t="s">
        <v>89</v>
      </c>
      <c r="C23" s="11">
        <f>C20*C8/C7*(C6+C11/C8^2)</f>
        <v>554.4</v>
      </c>
      <c r="D23" s="2" t="s">
        <v>21</v>
      </c>
    </row>
    <row r="24" spans="2:4" x14ac:dyDescent="0.25">
      <c r="B24" s="7" t="s">
        <v>24</v>
      </c>
      <c r="C24" s="12">
        <f>MAX(C22:C23)</f>
        <v>554.4</v>
      </c>
      <c r="D24" s="8" t="s">
        <v>21</v>
      </c>
    </row>
    <row r="25" spans="2:4" x14ac:dyDescent="0.25">
      <c r="B25" s="7" t="s">
        <v>25</v>
      </c>
      <c r="C25" s="9" t="str">
        <f>IF(C24&gt;C14,"fail","pass")</f>
        <v>pass</v>
      </c>
      <c r="D25" s="8"/>
    </row>
    <row r="28" spans="2:4" x14ac:dyDescent="0.25">
      <c r="B28" s="83" t="s">
        <v>91</v>
      </c>
      <c r="C28" s="84"/>
      <c r="D28" s="85"/>
    </row>
    <row r="29" spans="2:4" x14ac:dyDescent="0.25">
      <c r="B29" s="80" t="s">
        <v>42</v>
      </c>
      <c r="C29" s="81"/>
      <c r="D29" s="82"/>
    </row>
    <row r="30" spans="2:4" x14ac:dyDescent="0.25">
      <c r="B30" s="18" t="s">
        <v>92</v>
      </c>
      <c r="C30" s="11">
        <f>C8^2*2*(0.0175*(C3/C4)*(1+0.00393*(C5-20)))+C9</f>
        <v>0.97771812500000022</v>
      </c>
      <c r="D30" s="2" t="s">
        <v>12</v>
      </c>
    </row>
    <row r="31" spans="2:4" x14ac:dyDescent="0.25">
      <c r="B31" s="18" t="s">
        <v>95</v>
      </c>
      <c r="C31" s="11">
        <f>C10*(C8^2*C6+C11)/(C8^2*C6+C30)</f>
        <v>58.753943201211094</v>
      </c>
      <c r="D31" s="2"/>
    </row>
    <row r="32" spans="2:4" x14ac:dyDescent="0.25">
      <c r="B32" s="7" t="s">
        <v>93</v>
      </c>
      <c r="C32" s="11">
        <f>20*C19/C7</f>
        <v>8</v>
      </c>
      <c r="D32" s="2"/>
    </row>
    <row r="33" spans="2:4" x14ac:dyDescent="0.25">
      <c r="B33" s="7" t="s">
        <v>25</v>
      </c>
      <c r="C33" s="9" t="str">
        <f>IF(C31&gt;C32,IF(C10&gt;C30,"pass","fail"),"fail")</f>
        <v>pass</v>
      </c>
      <c r="D33" s="8"/>
    </row>
  </sheetData>
  <mergeCells count="8">
    <mergeCell ref="B21:D21"/>
    <mergeCell ref="B28:D28"/>
    <mergeCell ref="B29:D29"/>
    <mergeCell ref="B1:D1"/>
    <mergeCell ref="B2:D2"/>
    <mergeCell ref="B12:D12"/>
    <mergeCell ref="B17:D17"/>
    <mergeCell ref="B18:D18"/>
  </mergeCells>
  <conditionalFormatting sqref="C25">
    <cfRule type="expression" dxfId="47" priority="3">
      <formula>LOWER(TRIM(C25))="pass"</formula>
    </cfRule>
    <cfRule type="expression" dxfId="46" priority="4">
      <formula>LOWER(TRIM(C25))="fail"</formula>
    </cfRule>
  </conditionalFormatting>
  <conditionalFormatting sqref="C33">
    <cfRule type="expression" dxfId="45" priority="1">
      <formula>LOWER(TRIM(C33))="pass"</formula>
    </cfRule>
    <cfRule type="expression" dxfId="44" priority="2">
      <formula>LOWER(TRIM(C33))="fail"</formula>
    </cfRule>
  </conditionalFormatting>
  <pageMargins left="0.23622047244094491" right="0.23622047244094491" top="0.74803149606299213" bottom="0.74803149606299213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ECD1-C876-41B1-824F-CB0B2BC0CDFD}">
  <sheetPr>
    <tabColor theme="9" tint="0.79998168889431442"/>
    <pageSetUpPr fitToPage="1"/>
  </sheetPr>
  <dimension ref="B1:D41"/>
  <sheetViews>
    <sheetView view="pageBreakPreview" zoomScale="115" zoomScaleNormal="100" zoomScaleSheetLayoutView="115" workbookViewId="0">
      <selection activeCell="C36" sqref="C36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">
        <v>44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Informationen!Q4</f>
        <v>90</v>
      </c>
      <c r="D3" s="2" t="s">
        <v>4</v>
      </c>
    </row>
    <row r="4" spans="2:4" ht="16.95" customHeight="1" x14ac:dyDescent="0.25">
      <c r="B4" s="5" t="s">
        <v>33</v>
      </c>
      <c r="C4" s="10">
        <f>Informationen!R4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Informationen!S4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Informationen!N4</f>
        <v>7</v>
      </c>
      <c r="D6" s="2" t="s">
        <v>14</v>
      </c>
    </row>
    <row r="7" spans="2:4" ht="16.95" customHeight="1" x14ac:dyDescent="0.25">
      <c r="B7" s="5" t="s">
        <v>9</v>
      </c>
      <c r="C7" s="10">
        <f>Informationen!J4</f>
        <v>800</v>
      </c>
      <c r="D7" s="2" t="s">
        <v>0</v>
      </c>
    </row>
    <row r="8" spans="2:4" ht="16.95" customHeight="1" x14ac:dyDescent="0.25">
      <c r="B8" s="5" t="s">
        <v>10</v>
      </c>
      <c r="C8" s="10">
        <f>Informationen!K4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Informationen!O4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Informationen!L4</f>
        <v>20</v>
      </c>
      <c r="D10" s="2"/>
    </row>
    <row r="11" spans="2:4" ht="16.95" customHeight="1" x14ac:dyDescent="0.25">
      <c r="B11" s="5" t="s">
        <v>36</v>
      </c>
      <c r="C11" s="10">
        <f>Informationen!P4</f>
        <v>30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7.977718125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740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Informationen!G4</f>
        <v>220</v>
      </c>
      <c r="D19" s="2" t="s">
        <v>16</v>
      </c>
    </row>
    <row r="20" spans="2:4" ht="16.95" customHeight="1" x14ac:dyDescent="0.25">
      <c r="B20" s="5" t="s">
        <v>39</v>
      </c>
      <c r="C20" s="10">
        <f>Informationen!H4</f>
        <v>220</v>
      </c>
      <c r="D20" s="2" t="s">
        <v>17</v>
      </c>
    </row>
    <row r="21" spans="2:4" ht="16.95" customHeight="1" x14ac:dyDescent="0.25">
      <c r="B21" s="5" t="s">
        <v>40</v>
      </c>
      <c r="C21" s="10">
        <f>Informationen!I4</f>
        <v>23</v>
      </c>
      <c r="D21" s="2" t="s">
        <v>18</v>
      </c>
    </row>
    <row r="22" spans="2:4" ht="16.95" hidden="1" customHeight="1" x14ac:dyDescent="0.25">
      <c r="B22" s="5" t="s">
        <v>41</v>
      </c>
      <c r="C22" s="10">
        <v>54654184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577.35026918962581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2510.2185616940255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172.72266401203899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50.064540293344649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172.72266401203899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Informationen!C4*1000</f>
        <v>50000</v>
      </c>
      <c r="D35" s="19" t="s">
        <v>0</v>
      </c>
    </row>
    <row r="36" spans="2:4" ht="16.95" customHeight="1" x14ac:dyDescent="0.25">
      <c r="B36" s="5" t="s">
        <v>29</v>
      </c>
      <c r="C36" s="20">
        <f>Informationen!D4*1000</f>
        <v>50000</v>
      </c>
      <c r="D36" s="19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498.60738281250002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997.21476562500004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997.21476562500004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fail</v>
      </c>
      <c r="D41" s="8"/>
    </row>
  </sheetData>
  <mergeCells count="10">
    <mergeCell ref="B1:D1"/>
    <mergeCell ref="B12:D12"/>
    <mergeCell ref="B34:D34"/>
    <mergeCell ref="B37:D37"/>
    <mergeCell ref="B33:D33"/>
    <mergeCell ref="B2:D2"/>
    <mergeCell ref="B17:D17"/>
    <mergeCell ref="B18:D18"/>
    <mergeCell ref="B23:D23"/>
    <mergeCell ref="B26:D26"/>
  </mergeCells>
  <conditionalFormatting sqref="C30">
    <cfRule type="expression" dxfId="43" priority="3">
      <formula>LOWER(TRIM(C30))="pass"</formula>
    </cfRule>
    <cfRule type="expression" dxfId="42" priority="4">
      <formula>LOWER(TRIM(C30))="fail"</formula>
    </cfRule>
  </conditionalFormatting>
  <conditionalFormatting sqref="C41">
    <cfRule type="expression" dxfId="41" priority="5">
      <formula>LOWER(TRIM(C41))="pass"</formula>
    </cfRule>
    <cfRule type="expression" dxfId="40" priority="6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5E54-F577-4449-8BA8-08EC8507616C}">
  <sheetPr>
    <tabColor theme="9" tint="0.59999389629810485"/>
    <pageSetUpPr fitToPage="1"/>
  </sheetPr>
  <dimension ref="B1:D41"/>
  <sheetViews>
    <sheetView view="pageBreakPreview" zoomScale="60" zoomScaleNormal="100" workbookViewId="0">
      <selection activeCell="C9" sqref="C9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TEXT(Informationen!H5,"0")&amp;" kV - Core "&amp;TEXT(Informationen!A5,"0")</f>
        <v>150 kV - Core 1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Informationen!Q5</f>
        <v>65</v>
      </c>
      <c r="D3" s="2" t="s">
        <v>4</v>
      </c>
    </row>
    <row r="4" spans="2:4" ht="16.95" customHeight="1" x14ac:dyDescent="0.25">
      <c r="B4" s="5" t="s">
        <v>33</v>
      </c>
      <c r="C4" s="10">
        <f>Informationen!R5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Informationen!S5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Informationen!N5</f>
        <v>7</v>
      </c>
      <c r="D6" s="2" t="s">
        <v>14</v>
      </c>
    </row>
    <row r="7" spans="2:4" ht="16.95" customHeight="1" x14ac:dyDescent="0.25">
      <c r="B7" s="5" t="s">
        <v>9</v>
      </c>
      <c r="C7" s="10">
        <f>Informationen!J5</f>
        <v>1250</v>
      </c>
      <c r="D7" s="2" t="s">
        <v>0</v>
      </c>
    </row>
    <row r="8" spans="2:4" ht="16.95" customHeight="1" x14ac:dyDescent="0.25">
      <c r="B8" s="5" t="s">
        <v>10</v>
      </c>
      <c r="C8" s="10">
        <f>Informationen!K5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Informationen!O5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Informationen!L5</f>
        <v>20</v>
      </c>
      <c r="D10" s="2"/>
    </row>
    <row r="11" spans="2:4" ht="16.95" customHeight="1" x14ac:dyDescent="0.25">
      <c r="B11" s="5" t="s">
        <v>36</v>
      </c>
      <c r="C11" s="10">
        <f>Informationen!P5</f>
        <v>10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7.7116853124999993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340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Informationen!G5</f>
        <v>310</v>
      </c>
      <c r="D19" s="2" t="s">
        <v>16</v>
      </c>
    </row>
    <row r="20" spans="2:4" ht="16.95" customHeight="1" x14ac:dyDescent="0.25">
      <c r="B20" s="5" t="s">
        <v>39</v>
      </c>
      <c r="C20" s="10">
        <f>Informationen!H5</f>
        <v>150</v>
      </c>
      <c r="D20" s="2" t="s">
        <v>17</v>
      </c>
    </row>
    <row r="21" spans="2:4" ht="16.95" customHeight="1" x14ac:dyDescent="0.25">
      <c r="B21" s="5" t="s">
        <v>40</v>
      </c>
      <c r="C21" s="10">
        <f>Informationen!I5</f>
        <v>18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Informationen!F5</f>
        <v>6.6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1193.1905563252265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6628.8364240290357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220.83624211744689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81.791200784239578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220.83624211744689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Informationen!C5*1000</f>
        <v>6600</v>
      </c>
      <c r="D35" s="2" t="s">
        <v>0</v>
      </c>
    </row>
    <row r="36" spans="2:4" ht="16.95" customHeight="1" x14ac:dyDescent="0.25">
      <c r="B36" s="5" t="s">
        <v>29</v>
      </c>
      <c r="C36" s="20">
        <f>Informationen!D5*1000</f>
        <v>50000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40.71769845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616.93482499999993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616.93482499999993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fail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39" priority="1">
      <formula>LOWER(TRIM(C30))="pass"</formula>
    </cfRule>
    <cfRule type="expression" dxfId="38" priority="2">
      <formula>LOWER(TRIM(C30))="fail"</formula>
    </cfRule>
  </conditionalFormatting>
  <conditionalFormatting sqref="C41">
    <cfRule type="expression" dxfId="37" priority="3">
      <formula>LOWER(TRIM(C41))="pass"</formula>
    </cfRule>
    <cfRule type="expression" dxfId="36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2563-12F4-4BD8-AB96-47C97EB1753C}">
  <sheetPr>
    <tabColor theme="9" tint="0.59999389629810485"/>
    <pageSetUpPr fitToPage="1"/>
  </sheetPr>
  <dimension ref="B1:D41"/>
  <sheetViews>
    <sheetView topLeftCell="A2" zoomScaleNormal="100" workbookViewId="0">
      <selection activeCell="D15" sqref="D15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TEXT(Informationen!H6,"0")&amp;" kV - Core "&amp;TEXT(Informationen!A6,"0")</f>
        <v>150 kV - Core 2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Informationen!Q6</f>
        <v>65</v>
      </c>
      <c r="D3" s="2" t="s">
        <v>4</v>
      </c>
    </row>
    <row r="4" spans="2:4" ht="16.95" customHeight="1" x14ac:dyDescent="0.25">
      <c r="B4" s="5" t="s">
        <v>33</v>
      </c>
      <c r="C4" s="10">
        <f>Informationen!R6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Informationen!S6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Informationen!N6</f>
        <v>7</v>
      </c>
      <c r="D6" s="2" t="s">
        <v>14</v>
      </c>
    </row>
    <row r="7" spans="2:4" ht="16.95" customHeight="1" x14ac:dyDescent="0.25">
      <c r="B7" s="5" t="s">
        <v>9</v>
      </c>
      <c r="C7" s="10">
        <f>Informationen!J6</f>
        <v>1250</v>
      </c>
      <c r="D7" s="2" t="s">
        <v>0</v>
      </c>
    </row>
    <row r="8" spans="2:4" ht="16.95" customHeight="1" x14ac:dyDescent="0.25">
      <c r="B8" s="5" t="s">
        <v>10</v>
      </c>
      <c r="C8" s="10">
        <f>Informationen!K6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Informationen!O6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Informationen!L6</f>
        <v>20</v>
      </c>
      <c r="D10" s="2"/>
    </row>
    <row r="11" spans="2:4" ht="16.95" customHeight="1" x14ac:dyDescent="0.25">
      <c r="B11" s="5" t="s">
        <v>36</v>
      </c>
      <c r="C11" s="10">
        <f>Informationen!P6</f>
        <v>10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7.7116853124999993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340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Informationen!G6</f>
        <v>325</v>
      </c>
      <c r="D19" s="2" t="s">
        <v>16</v>
      </c>
    </row>
    <row r="20" spans="2:4" ht="16.95" customHeight="1" x14ac:dyDescent="0.25">
      <c r="B20" s="5" t="s">
        <v>39</v>
      </c>
      <c r="C20" s="10">
        <f>Informationen!H6</f>
        <v>150</v>
      </c>
      <c r="D20" s="2" t="s">
        <v>17</v>
      </c>
    </row>
    <row r="21" spans="2:4" ht="16.95" customHeight="1" x14ac:dyDescent="0.25">
      <c r="B21" s="5" t="s">
        <v>40</v>
      </c>
      <c r="C21" s="10">
        <f>Informationen!I6</f>
        <v>5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Informationen!F6</f>
        <v>29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1250.9255832441891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25018.511664883779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231.52186673603302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308.69582231471065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308.69582231471065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Informationen!C6*1000</f>
        <v>29000</v>
      </c>
      <c r="D35" s="2" t="s">
        <v>0</v>
      </c>
    </row>
    <row r="36" spans="2:4" ht="16.95" customHeight="1" x14ac:dyDescent="0.25">
      <c r="B36" s="5" t="s">
        <v>29</v>
      </c>
      <c r="C36" s="20">
        <f>Informationen!D6*1000</f>
        <v>40000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178.91109925000001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493.54786000000001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493.54786000000001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fail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35" priority="1">
      <formula>LOWER(TRIM(C30))="pass"</formula>
    </cfRule>
    <cfRule type="expression" dxfId="34" priority="2">
      <formula>LOWER(TRIM(C30))="fail"</formula>
    </cfRule>
  </conditionalFormatting>
  <conditionalFormatting sqref="C41">
    <cfRule type="expression" dxfId="33" priority="3">
      <formula>LOWER(TRIM(C41))="pass"</formula>
    </cfRule>
    <cfRule type="expression" dxfId="32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D573-50F0-4F0F-A660-B9334C527AE2}">
  <sheetPr>
    <tabColor theme="9" tint="0.59999389629810485"/>
    <pageSetUpPr fitToPage="1"/>
  </sheetPr>
  <dimension ref="B1:D41"/>
  <sheetViews>
    <sheetView zoomScaleNormal="100" workbookViewId="0">
      <selection activeCell="K31" sqref="K31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TEXT(Informationen!H7,"0")&amp;" kV - Core "&amp;TEXT(Informationen!A7,"0")</f>
        <v>150 kV - Core 3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Informationen!Q7</f>
        <v>75</v>
      </c>
      <c r="D3" s="2" t="s">
        <v>4</v>
      </c>
    </row>
    <row r="4" spans="2:4" ht="16.95" customHeight="1" x14ac:dyDescent="0.25">
      <c r="B4" s="5" t="s">
        <v>33</v>
      </c>
      <c r="C4" s="10">
        <f>Informationen!R7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Informationen!S7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Informationen!N7</f>
        <v>7.5</v>
      </c>
      <c r="D6" s="2" t="s">
        <v>14</v>
      </c>
    </row>
    <row r="7" spans="2:4" ht="16.95" customHeight="1" x14ac:dyDescent="0.25">
      <c r="B7" s="5" t="s">
        <v>9</v>
      </c>
      <c r="C7" s="10">
        <f>Informationen!J7</f>
        <v>1250</v>
      </c>
      <c r="D7" s="2" t="s">
        <v>0</v>
      </c>
    </row>
    <row r="8" spans="2:4" ht="16.95" customHeight="1" x14ac:dyDescent="0.25">
      <c r="B8" s="5" t="s">
        <v>10</v>
      </c>
      <c r="C8" s="10">
        <f>Informationen!K7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Informationen!O7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Informationen!L7</f>
        <v>20</v>
      </c>
      <c r="D10" s="2"/>
    </row>
    <row r="11" spans="2:4" ht="16.95" customHeight="1" x14ac:dyDescent="0.25">
      <c r="B11" s="5" t="s">
        <v>36</v>
      </c>
      <c r="C11" s="10">
        <f>Informationen!P7</f>
        <v>30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8.3180984374999998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750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Informationen!G7</f>
        <v>310</v>
      </c>
      <c r="D19" s="2" t="s">
        <v>16</v>
      </c>
    </row>
    <row r="20" spans="2:4" ht="16.95" customHeight="1" x14ac:dyDescent="0.25">
      <c r="B20" s="5" t="s">
        <v>39</v>
      </c>
      <c r="C20" s="10">
        <f>Informationen!H7</f>
        <v>150</v>
      </c>
      <c r="D20" s="2" t="s">
        <v>17</v>
      </c>
    </row>
    <row r="21" spans="2:4" ht="16.95" customHeight="1" x14ac:dyDescent="0.25">
      <c r="B21" s="5" t="s">
        <v>40</v>
      </c>
      <c r="C21" s="10">
        <f>Informationen!I7</f>
        <v>18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Informationen!F7</f>
        <v>8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1193.1905563252265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6628.8364240290357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238.20183605300696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88.222902241854428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238.20183605300696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Informationen!C7*1000</f>
        <v>40000</v>
      </c>
      <c r="D35" s="2" t="s">
        <v>0</v>
      </c>
    </row>
    <row r="36" spans="2:4" ht="16.95" customHeight="1" x14ac:dyDescent="0.25">
      <c r="B36" s="5" t="s">
        <v>29</v>
      </c>
      <c r="C36" s="20">
        <f>Informationen!D7*1000</f>
        <v>40000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266.17914999999999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532.35829999999999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532.35829999999999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31" priority="1">
      <formula>LOWER(TRIM(C30))="pass"</formula>
    </cfRule>
    <cfRule type="expression" dxfId="30" priority="2">
      <formula>LOWER(TRIM(C30))="fail"</formula>
    </cfRule>
  </conditionalFormatting>
  <conditionalFormatting sqref="C41">
    <cfRule type="expression" dxfId="29" priority="3">
      <formula>LOWER(TRIM(C41))="pass"</formula>
    </cfRule>
    <cfRule type="expression" dxfId="28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6FB7-E806-476A-B8A3-B67F02E3FC6F}">
  <sheetPr>
    <tabColor theme="9" tint="0.59999389629810485"/>
    <pageSetUpPr fitToPage="1"/>
  </sheetPr>
  <dimension ref="B1:D41"/>
  <sheetViews>
    <sheetView topLeftCell="A14" zoomScaleNormal="100" workbookViewId="0">
      <selection activeCell="C35" sqref="C35:C36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TEXT(Informationen!H8,"0")&amp;" kV - Core "&amp;TEXT(Informationen!A8,"0")</f>
        <v>150 kV - Core 4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Informationen!Q8</f>
        <v>70</v>
      </c>
      <c r="D3" s="2" t="s">
        <v>4</v>
      </c>
    </row>
    <row r="4" spans="2:4" ht="16.95" customHeight="1" x14ac:dyDescent="0.25">
      <c r="B4" s="5" t="s">
        <v>33</v>
      </c>
      <c r="C4" s="10">
        <f>Informationen!R8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Informationen!S8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Informationen!N8</f>
        <v>7.5</v>
      </c>
      <c r="D6" s="2" t="s">
        <v>14</v>
      </c>
    </row>
    <row r="7" spans="2:4" ht="16.95" customHeight="1" x14ac:dyDescent="0.25">
      <c r="B7" s="5" t="s">
        <v>9</v>
      </c>
      <c r="C7" s="10">
        <f>Informationen!J8</f>
        <v>1600</v>
      </c>
      <c r="D7" s="2" t="s">
        <v>0</v>
      </c>
    </row>
    <row r="8" spans="2:4" ht="16.95" customHeight="1" x14ac:dyDescent="0.25">
      <c r="B8" s="5" t="s">
        <v>10</v>
      </c>
      <c r="C8" s="10">
        <f>Informationen!K8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Informationen!O8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Informationen!L8</f>
        <v>40</v>
      </c>
      <c r="D10" s="2"/>
    </row>
    <row r="11" spans="2:4" ht="16.95" customHeight="1" x14ac:dyDescent="0.25">
      <c r="B11" s="5" t="s">
        <v>36</v>
      </c>
      <c r="C11" s="10">
        <f>Informationen!P8</f>
        <v>10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8.264891875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700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Informationen!G8</f>
        <v>200</v>
      </c>
      <c r="D19" s="2" t="s">
        <v>16</v>
      </c>
    </row>
    <row r="20" spans="2:4" ht="16.95" customHeight="1" x14ac:dyDescent="0.25">
      <c r="B20" s="5" t="s">
        <v>39</v>
      </c>
      <c r="C20" s="10">
        <f>Informationen!H8</f>
        <v>150</v>
      </c>
      <c r="D20" s="2" t="s">
        <v>17</v>
      </c>
    </row>
    <row r="21" spans="2:4" ht="16.95" customHeight="1" x14ac:dyDescent="0.25">
      <c r="B21" s="5" t="s">
        <v>40</v>
      </c>
      <c r="C21" s="10">
        <f>Informationen!I8</f>
        <v>15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Informationen!F8</f>
        <v>6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769.80035891950104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5132.0023927966731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119.29343872136002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53.019306098382224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119.29343872136002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Informationen!C8*1000</f>
        <v>40000</v>
      </c>
      <c r="D35" s="2" t="s">
        <v>0</v>
      </c>
    </row>
    <row r="36" spans="2:4" ht="16.95" customHeight="1" x14ac:dyDescent="0.25">
      <c r="B36" s="5" t="s">
        <v>29</v>
      </c>
      <c r="C36" s="20">
        <f>Informationen!D8*1000</f>
        <v>40000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206.62229687499999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413.24459374999998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413.24459374999998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27" priority="1">
      <formula>LOWER(TRIM(C30))="pass"</formula>
    </cfRule>
    <cfRule type="expression" dxfId="26" priority="2">
      <formula>LOWER(TRIM(C30))="fail"</formula>
    </cfRule>
  </conditionalFormatting>
  <conditionalFormatting sqref="C41">
    <cfRule type="expression" dxfId="25" priority="3">
      <formula>LOWER(TRIM(C41))="pass"</formula>
    </cfRule>
    <cfRule type="expression" dxfId="24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08C6-4424-4063-8872-26BD8AA77E2A}">
  <sheetPr>
    <tabColor theme="9" tint="0.39997558519241921"/>
    <pageSetUpPr fitToPage="1"/>
  </sheetPr>
  <dimension ref="B1:D41"/>
  <sheetViews>
    <sheetView topLeftCell="A23" zoomScaleNormal="100" workbookViewId="0">
      <selection activeCell="C36" sqref="C36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TEXT(Informationen!H9,"0")&amp;" kV - Core "&amp;TEXT(Informationen!A9,"0")</f>
        <v>33 kV - Core 1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Informationen!Q9</f>
        <v>13</v>
      </c>
      <c r="D3" s="2" t="s">
        <v>4</v>
      </c>
    </row>
    <row r="4" spans="2:4" ht="16.95" customHeight="1" x14ac:dyDescent="0.25">
      <c r="B4" s="5" t="s">
        <v>33</v>
      </c>
      <c r="C4" s="10">
        <f>Informationen!R9</f>
        <v>1.5</v>
      </c>
      <c r="D4" s="2" t="s">
        <v>6</v>
      </c>
    </row>
    <row r="5" spans="2:4" ht="16.95" customHeight="1" x14ac:dyDescent="0.25">
      <c r="B5" s="5" t="s">
        <v>34</v>
      </c>
      <c r="C5" s="10">
        <f>Informationen!S9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Informationen!N9</f>
        <v>14</v>
      </c>
      <c r="D6" s="2" t="s">
        <v>14</v>
      </c>
    </row>
    <row r="7" spans="2:4" ht="16.95" customHeight="1" x14ac:dyDescent="0.25">
      <c r="B7" s="5" t="s">
        <v>9</v>
      </c>
      <c r="C7" s="10">
        <f>Informationen!J9</f>
        <v>2500</v>
      </c>
      <c r="D7" s="2" t="s">
        <v>0</v>
      </c>
    </row>
    <row r="8" spans="2:4" ht="16.95" customHeight="1" x14ac:dyDescent="0.25">
      <c r="B8" s="5" t="s">
        <v>10</v>
      </c>
      <c r="C8" s="10">
        <f>Informationen!K9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Informationen!O9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Informationen!L9</f>
        <v>20</v>
      </c>
      <c r="D10" s="2"/>
    </row>
    <row r="11" spans="2:4" ht="16.95" customHeight="1" x14ac:dyDescent="0.25">
      <c r="B11" s="5" t="s">
        <v>36</v>
      </c>
      <c r="C11" s="10">
        <f>Informationen!P9</f>
        <v>15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14.388898833333332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580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Informationen!G9</f>
        <v>110</v>
      </c>
      <c r="D19" s="2" t="s">
        <v>16</v>
      </c>
    </row>
    <row r="20" spans="2:4" ht="16.95" customHeight="1" x14ac:dyDescent="0.25">
      <c r="B20" s="5" t="s">
        <v>39</v>
      </c>
      <c r="C20" s="10">
        <f>Informationen!H9</f>
        <v>33</v>
      </c>
      <c r="D20" s="2" t="s">
        <v>17</v>
      </c>
    </row>
    <row r="21" spans="2:4" ht="16.95" customHeight="1" x14ac:dyDescent="0.25">
      <c r="B21" s="5" t="s">
        <v>40</v>
      </c>
      <c r="C21" s="10">
        <f>Informationen!I9</f>
        <v>12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Informationen!F9</f>
        <v>16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1924.5008972987528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16037.507477489606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332.29738459069171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184.60965810593981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332.29738459069171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Informationen!C9*1000</f>
        <v>31500</v>
      </c>
      <c r="D35" s="2" t="s">
        <v>0</v>
      </c>
    </row>
    <row r="36" spans="2:4" ht="16.95" customHeight="1" x14ac:dyDescent="0.25">
      <c r="B36" s="5" t="s">
        <v>29</v>
      </c>
      <c r="C36" s="20">
        <f>Informationen!D9*1000</f>
        <v>31500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181.30012529999999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362.60025059999998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362.60025059999998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23" priority="1">
      <formula>LOWER(TRIM(C30))="pass"</formula>
    </cfRule>
    <cfRule type="expression" dxfId="22" priority="2">
      <formula>LOWER(TRIM(C30))="fail"</formula>
    </cfRule>
  </conditionalFormatting>
  <conditionalFormatting sqref="C41">
    <cfRule type="expression" dxfId="21" priority="3">
      <formula>LOWER(TRIM(C41))="pass"</formula>
    </cfRule>
    <cfRule type="expression" dxfId="20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F33C-EED3-413D-84BB-2499E829400A}">
  <sheetPr>
    <tabColor theme="9" tint="0.39997558519241921"/>
    <pageSetUpPr fitToPage="1"/>
  </sheetPr>
  <dimension ref="B1:D41"/>
  <sheetViews>
    <sheetView topLeftCell="A13" zoomScaleNormal="100" workbookViewId="0">
      <selection activeCell="E40" sqref="E38:G40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TEXT(Informationen!H10,"0")&amp;" kV - Core "&amp;TEXT(Informationen!A10,"0")</f>
        <v>33 kV - Core 2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Informationen!Q10</f>
        <v>110</v>
      </c>
      <c r="D3" s="2" t="s">
        <v>4</v>
      </c>
    </row>
    <row r="4" spans="2:4" ht="16.95" customHeight="1" x14ac:dyDescent="0.25">
      <c r="B4" s="5" t="s">
        <v>33</v>
      </c>
      <c r="C4" s="10">
        <f>Informationen!R10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Informationen!S10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Informationen!N10</f>
        <v>20</v>
      </c>
      <c r="D6" s="2" t="s">
        <v>14</v>
      </c>
    </row>
    <row r="7" spans="2:4" ht="16.95" customHeight="1" x14ac:dyDescent="0.25">
      <c r="B7" s="5" t="s">
        <v>9</v>
      </c>
      <c r="C7" s="10">
        <f>Informationen!J10</f>
        <v>3000</v>
      </c>
      <c r="D7" s="2" t="s">
        <v>0</v>
      </c>
    </row>
    <row r="8" spans="2:4" ht="16.95" customHeight="1" x14ac:dyDescent="0.25">
      <c r="B8" s="5" t="s">
        <v>10</v>
      </c>
      <c r="C8" s="10">
        <f>Informationen!K10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Informationen!O10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Informationen!L10</f>
        <v>60</v>
      </c>
      <c r="D10" s="2"/>
    </row>
    <row r="11" spans="2:4" ht="16.95" customHeight="1" x14ac:dyDescent="0.25">
      <c r="B11" s="5" t="s">
        <v>36</v>
      </c>
      <c r="C11" s="10">
        <f>Informationen!P10</f>
        <v>30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21.190544374999998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3000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Informationen!G10</f>
        <v>175</v>
      </c>
      <c r="D19" s="2" t="s">
        <v>16</v>
      </c>
    </row>
    <row r="20" spans="2:4" ht="16.95" customHeight="1" x14ac:dyDescent="0.25">
      <c r="B20" s="5" t="s">
        <v>39</v>
      </c>
      <c r="C20" s="10">
        <f>Informationen!H10</f>
        <v>33</v>
      </c>
      <c r="D20" s="2" t="s">
        <v>17</v>
      </c>
    </row>
    <row r="21" spans="2:4" ht="16.95" customHeight="1" x14ac:dyDescent="0.25">
      <c r="B21" s="5" t="s">
        <v>40</v>
      </c>
      <c r="C21" s="10">
        <f>Informationen!I10</f>
        <v>12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Informationen!F10</f>
        <v>29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3061.7059729752887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25514.21644146074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648.79216283535402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360.44009046408559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648.79216283535402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Informationen!C10*1000</f>
        <v>40000</v>
      </c>
      <c r="D35" s="2" t="s">
        <v>0</v>
      </c>
    </row>
    <row r="36" spans="2:4" ht="16.95" customHeight="1" x14ac:dyDescent="0.25">
      <c r="B36" s="5" t="s">
        <v>29</v>
      </c>
      <c r="C36" s="20">
        <f>Informationen!D10*1000</f>
        <v>40000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282.54059166666661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565.08118333333323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565.08118333333323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19" priority="1">
      <formula>LOWER(TRIM(C30))="pass"</formula>
    </cfRule>
    <cfRule type="expression" dxfId="18" priority="2">
      <formula>LOWER(TRIM(C30))="fail"</formula>
    </cfRule>
  </conditionalFormatting>
  <conditionalFormatting sqref="C41">
    <cfRule type="expression" dxfId="17" priority="3">
      <formula>LOWER(TRIM(C41))="pass"</formula>
    </cfRule>
    <cfRule type="expression" dxfId="16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4F2B-635F-4316-B16C-142A5A2384AC}">
  <sheetPr>
    <tabColor theme="9" tint="0.39997558519241921"/>
    <pageSetUpPr fitToPage="1"/>
  </sheetPr>
  <dimension ref="B1:D41"/>
  <sheetViews>
    <sheetView topLeftCell="A17" zoomScaleNormal="100" workbookViewId="0">
      <selection activeCell="C35" sqref="C35:C36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TEXT(Informationen!H11,"0")&amp;" kV - Core "&amp;TEXT(Informationen!A11,"0")</f>
        <v>33 kV - Core 3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Informationen!Q11</f>
        <v>55</v>
      </c>
      <c r="D3" s="2" t="s">
        <v>4</v>
      </c>
    </row>
    <row r="4" spans="2:4" ht="16.95" customHeight="1" x14ac:dyDescent="0.25">
      <c r="B4" s="5" t="s">
        <v>33</v>
      </c>
      <c r="C4" s="10">
        <f>Informationen!R11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Informationen!S11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Informationen!N11</f>
        <v>14</v>
      </c>
      <c r="D6" s="2" t="s">
        <v>14</v>
      </c>
    </row>
    <row r="7" spans="2:4" ht="16.95" customHeight="1" x14ac:dyDescent="0.25">
      <c r="B7" s="5" t="s">
        <v>9</v>
      </c>
      <c r="C7" s="10">
        <f>Informationen!J11</f>
        <v>2500</v>
      </c>
      <c r="D7" s="2" t="s">
        <v>0</v>
      </c>
    </row>
    <row r="8" spans="2:4" ht="16.95" customHeight="1" x14ac:dyDescent="0.25">
      <c r="B8" s="5" t="s">
        <v>10</v>
      </c>
      <c r="C8" s="10">
        <f>Informationen!K11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Informationen!O11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Informationen!L11</f>
        <v>20</v>
      </c>
      <c r="D10" s="2"/>
    </row>
    <row r="11" spans="2:4" ht="16.95" customHeight="1" x14ac:dyDescent="0.25">
      <c r="B11" s="5" t="s">
        <v>36</v>
      </c>
      <c r="C11" s="10">
        <f>Informationen!P11</f>
        <v>20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14.605272187499999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680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Informationen!G11</f>
        <v>155</v>
      </c>
      <c r="D19" s="2" t="s">
        <v>16</v>
      </c>
    </row>
    <row r="20" spans="2:4" ht="16.95" customHeight="1" x14ac:dyDescent="0.25">
      <c r="B20" s="5" t="s">
        <v>39</v>
      </c>
      <c r="C20" s="10">
        <f>Informationen!H11</f>
        <v>33</v>
      </c>
      <c r="D20" s="2" t="s">
        <v>17</v>
      </c>
    </row>
    <row r="21" spans="2:4" ht="16.95" customHeight="1" x14ac:dyDescent="0.25">
      <c r="B21" s="5" t="s">
        <v>40</v>
      </c>
      <c r="C21" s="10">
        <f>Informationen!I11</f>
        <v>12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Informationen!F11</f>
        <v>25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2711.7967189209699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22598.305991008081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475.27835036412239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264.04352798006795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475.27835036412239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Informationen!C11*1000</f>
        <v>29000</v>
      </c>
      <c r="D35" s="2" t="s">
        <v>0</v>
      </c>
    </row>
    <row r="36" spans="2:4" ht="16.95" customHeight="1" x14ac:dyDescent="0.25">
      <c r="B36" s="5" t="s">
        <v>29</v>
      </c>
      <c r="C36" s="20">
        <f>Informationen!D11*1000</f>
        <v>30000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169.42115737500001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350.52653249999997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350.52653249999997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15" priority="1">
      <formula>LOWER(TRIM(C30))="pass"</formula>
    </cfRule>
    <cfRule type="expression" dxfId="14" priority="2">
      <formula>LOWER(TRIM(C30))="fail"</formula>
    </cfRule>
  </conditionalFormatting>
  <conditionalFormatting sqref="C41">
    <cfRule type="expression" dxfId="13" priority="3">
      <formula>LOWER(TRIM(C41))="pass"</formula>
    </cfRule>
    <cfRule type="expression" dxfId="12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C233-1289-4082-9B30-4327E59C795A}">
  <sheetPr>
    <tabColor theme="9" tint="0.39997558519241921"/>
    <pageSetUpPr fitToPage="1"/>
  </sheetPr>
  <dimension ref="B1:D41"/>
  <sheetViews>
    <sheetView topLeftCell="A17" zoomScaleNormal="100" workbookViewId="0">
      <selection activeCell="E38" sqref="E38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TEXT(Informationen!H12,"0")&amp;" kV - Core "&amp;TEXT(Informationen!A12,"0")</f>
        <v>33 kV - Core 4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Informationen!Q12</f>
        <v>80</v>
      </c>
      <c r="D3" s="2" t="s">
        <v>4</v>
      </c>
    </row>
    <row r="4" spans="2:4" ht="16.95" customHeight="1" x14ac:dyDescent="0.25">
      <c r="B4" s="5" t="s">
        <v>33</v>
      </c>
      <c r="C4" s="10">
        <f>Informationen!R12</f>
        <v>4</v>
      </c>
      <c r="D4" s="2" t="s">
        <v>6</v>
      </c>
    </row>
    <row r="5" spans="2:4" ht="16.95" customHeight="1" x14ac:dyDescent="0.25">
      <c r="B5" s="5" t="s">
        <v>34</v>
      </c>
      <c r="C5" s="10">
        <f>Informationen!S12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Informationen!N12</f>
        <v>18</v>
      </c>
      <c r="D6" s="2" t="s">
        <v>14</v>
      </c>
    </row>
    <row r="7" spans="2:4" ht="16.95" customHeight="1" x14ac:dyDescent="0.25">
      <c r="B7" s="5" t="s">
        <v>9</v>
      </c>
      <c r="C7" s="10">
        <f>Informationen!J12</f>
        <v>3000</v>
      </c>
      <c r="D7" s="2" t="s">
        <v>0</v>
      </c>
    </row>
    <row r="8" spans="2:4" ht="16.95" customHeight="1" x14ac:dyDescent="0.25">
      <c r="B8" s="5" t="s">
        <v>10</v>
      </c>
      <c r="C8" s="10">
        <f>Informationen!K12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Informationen!O12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Informationen!L12</f>
        <v>20</v>
      </c>
      <c r="D10" s="2"/>
    </row>
    <row r="11" spans="2:4" ht="16.95" customHeight="1" x14ac:dyDescent="0.25">
      <c r="B11" s="5" t="s">
        <v>36</v>
      </c>
      <c r="C11" s="10">
        <f>Informationen!P12</f>
        <v>20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18.871305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760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Informationen!G12</f>
        <v>155</v>
      </c>
      <c r="D19" s="2" t="s">
        <v>16</v>
      </c>
    </row>
    <row r="20" spans="2:4" ht="16.95" customHeight="1" x14ac:dyDescent="0.25">
      <c r="B20" s="5" t="s">
        <v>39</v>
      </c>
      <c r="C20" s="10">
        <f>Informationen!H12</f>
        <v>33</v>
      </c>
      <c r="D20" s="2" t="s">
        <v>17</v>
      </c>
    </row>
    <row r="21" spans="2:4" ht="16.95" customHeight="1" x14ac:dyDescent="0.25">
      <c r="B21" s="5" t="s">
        <v>40</v>
      </c>
      <c r="C21" s="10">
        <f>Informationen!I12</f>
        <v>10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Informationen!F12</f>
        <v>25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2711.7967189209699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27117.967189209699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511.75142980756897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341.16761987171259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511.75142980756897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Informationen!C12*1000</f>
        <v>29000</v>
      </c>
      <c r="D35" s="2" t="s">
        <v>0</v>
      </c>
    </row>
    <row r="36" spans="2:4" ht="16.95" customHeight="1" x14ac:dyDescent="0.25">
      <c r="B36" s="5" t="s">
        <v>29</v>
      </c>
      <c r="C36" s="20">
        <f>Informationen!D12*1000</f>
        <v>29000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182.42261499999998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364.84522999999996</v>
      </c>
      <c r="D39" s="2" t="s">
        <v>21</v>
      </c>
    </row>
    <row r="40" spans="2:4" ht="16.95" customHeight="1" x14ac:dyDescent="0.25">
      <c r="B40" s="7" t="s">
        <v>24</v>
      </c>
      <c r="C40" s="12">
        <f>MAX(C38:C39)</f>
        <v>364.84522999999996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11" priority="1">
      <formula>LOWER(TRIM(C30))="pass"</formula>
    </cfRule>
    <cfRule type="expression" dxfId="10" priority="2">
      <formula>LOWER(TRIM(C30))="fail"</formula>
    </cfRule>
  </conditionalFormatting>
  <conditionalFormatting sqref="C41">
    <cfRule type="expression" dxfId="9" priority="3">
      <formula>LOWER(TRIM(C41))="pass"</formula>
    </cfRule>
    <cfRule type="expression" dxfId="8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755F-B976-4BF3-9996-55D4F20F88C1}">
  <sheetPr>
    <tabColor theme="9" tint="0.39997558519241921"/>
    <pageSetUpPr fitToPage="1"/>
  </sheetPr>
  <dimension ref="B1:D41"/>
  <sheetViews>
    <sheetView view="pageBreakPreview" zoomScale="60" zoomScaleNormal="100" workbookViewId="0">
      <selection activeCell="G42" sqref="G42"/>
    </sheetView>
  </sheetViews>
  <sheetFormatPr baseColWidth="10" defaultRowHeight="13.8" x14ac:dyDescent="0.25"/>
  <cols>
    <col min="2" max="2" width="40.6328125" customWidth="1"/>
    <col min="3" max="3" width="11.6328125" customWidth="1"/>
    <col min="4" max="4" width="9.6328125" customWidth="1"/>
    <col min="5" max="49" width="10.90625" customWidth="1"/>
    <col min="50" max="50" width="8.984375E-2" customWidth="1"/>
  </cols>
  <sheetData>
    <row r="1" spans="2:4" ht="30" customHeight="1" x14ac:dyDescent="0.25">
      <c r="B1" s="86" t="str">
        <f>TEXT(Informationen!H13,"0")&amp;" kV - Core "&amp;TEXT(Informationen!A13,"0")</f>
        <v>33 kV - Core 5</v>
      </c>
      <c r="C1" s="86"/>
      <c r="D1" s="86"/>
    </row>
    <row r="2" spans="2:4" ht="24" customHeight="1" x14ac:dyDescent="0.25">
      <c r="B2" s="87" t="s">
        <v>43</v>
      </c>
      <c r="C2" s="88"/>
      <c r="D2" s="88"/>
    </row>
    <row r="3" spans="2:4" ht="16.95" customHeight="1" x14ac:dyDescent="0.25">
      <c r="B3" s="5" t="s">
        <v>32</v>
      </c>
      <c r="C3" s="10">
        <f>Informationen!Q13</f>
        <v>40</v>
      </c>
      <c r="D3" s="2" t="s">
        <v>4</v>
      </c>
    </row>
    <row r="4" spans="2:4" ht="16.95" customHeight="1" x14ac:dyDescent="0.25">
      <c r="B4" s="5" t="s">
        <v>33</v>
      </c>
      <c r="C4" s="10">
        <f>Informationen!R13</f>
        <v>2.5</v>
      </c>
      <c r="D4" s="2" t="s">
        <v>6</v>
      </c>
    </row>
    <row r="5" spans="2:4" ht="16.95" customHeight="1" x14ac:dyDescent="0.25">
      <c r="B5" s="5" t="s">
        <v>34</v>
      </c>
      <c r="C5" s="10">
        <f>Informationen!S13</f>
        <v>75</v>
      </c>
      <c r="D5" s="2" t="s">
        <v>2</v>
      </c>
    </row>
    <row r="6" spans="2:4" ht="16.95" customHeight="1" x14ac:dyDescent="0.25">
      <c r="B6" s="5" t="s">
        <v>13</v>
      </c>
      <c r="C6" s="10">
        <f>Informationen!N13</f>
        <v>2</v>
      </c>
      <c r="D6" s="2" t="s">
        <v>14</v>
      </c>
    </row>
    <row r="7" spans="2:4" ht="16.95" customHeight="1" x14ac:dyDescent="0.25">
      <c r="B7" s="5" t="s">
        <v>9</v>
      </c>
      <c r="C7" s="10">
        <f>Informationen!J13</f>
        <v>500</v>
      </c>
      <c r="D7" s="2" t="s">
        <v>0</v>
      </c>
    </row>
    <row r="8" spans="2:4" ht="16.95" customHeight="1" x14ac:dyDescent="0.25">
      <c r="B8" s="5" t="s">
        <v>10</v>
      </c>
      <c r="C8" s="10">
        <f>Informationen!K13</f>
        <v>1</v>
      </c>
      <c r="D8" s="2" t="s">
        <v>0</v>
      </c>
    </row>
    <row r="9" spans="2:4" ht="16.95" customHeight="1" x14ac:dyDescent="0.25">
      <c r="B9" s="5" t="s">
        <v>11</v>
      </c>
      <c r="C9" s="10">
        <f>Informationen!O13</f>
        <v>0.02</v>
      </c>
      <c r="D9" s="2" t="s">
        <v>12</v>
      </c>
    </row>
    <row r="10" spans="2:4" ht="16.95" customHeight="1" x14ac:dyDescent="0.25">
      <c r="B10" s="5" t="s">
        <v>35</v>
      </c>
      <c r="C10" s="10">
        <f>Informationen!L13</f>
        <v>20</v>
      </c>
      <c r="D10" s="2"/>
    </row>
    <row r="11" spans="2:4" ht="16.95" customHeight="1" x14ac:dyDescent="0.25">
      <c r="B11" s="5" t="s">
        <v>36</v>
      </c>
      <c r="C11" s="10">
        <f>Informationen!P13</f>
        <v>10</v>
      </c>
      <c r="D11" s="2" t="s">
        <v>12</v>
      </c>
    </row>
    <row r="12" spans="2:4" ht="18" customHeight="1" x14ac:dyDescent="0.25">
      <c r="B12" s="80" t="s">
        <v>37</v>
      </c>
      <c r="C12" s="89"/>
      <c r="D12" s="82"/>
    </row>
    <row r="13" spans="2:4" ht="16.95" customHeight="1" x14ac:dyDescent="0.25">
      <c r="B13" s="5" t="s">
        <v>26</v>
      </c>
      <c r="C13" s="11">
        <f>2*(0.0175*(C3/C4)*(1+0.00393*(C5-20)))+C6+(C9/C8^2)</f>
        <v>2.701044</v>
      </c>
      <c r="D13" s="2" t="s">
        <v>14</v>
      </c>
    </row>
    <row r="14" spans="2:4" ht="16.95" customHeight="1" x14ac:dyDescent="0.25">
      <c r="B14" s="5" t="s">
        <v>38</v>
      </c>
      <c r="C14" s="11">
        <f>C10*C8*(C6+C11/C8^2)</f>
        <v>240</v>
      </c>
      <c r="D14" s="2" t="s">
        <v>21</v>
      </c>
    </row>
    <row r="15" spans="2:4" x14ac:dyDescent="0.25">
      <c r="B15" s="6"/>
      <c r="C15" s="4"/>
      <c r="D15" s="3"/>
    </row>
    <row r="16" spans="2:4" x14ac:dyDescent="0.25">
      <c r="B16" s="6"/>
      <c r="C16" s="4"/>
      <c r="D16" s="3"/>
    </row>
    <row r="17" spans="2:4" ht="24" customHeight="1" x14ac:dyDescent="0.25">
      <c r="B17" s="87" t="s">
        <v>7</v>
      </c>
      <c r="C17" s="84"/>
      <c r="D17" s="85"/>
    </row>
    <row r="18" spans="2:4" ht="18" customHeight="1" x14ac:dyDescent="0.25">
      <c r="B18" s="80" t="s">
        <v>8</v>
      </c>
      <c r="C18" s="89"/>
      <c r="D18" s="82"/>
    </row>
    <row r="19" spans="2:4" ht="16.95" customHeight="1" x14ac:dyDescent="0.25">
      <c r="B19" s="5" t="s">
        <v>15</v>
      </c>
      <c r="C19" s="10">
        <f>Informationen!G13</f>
        <v>30</v>
      </c>
      <c r="D19" s="2" t="s">
        <v>16</v>
      </c>
    </row>
    <row r="20" spans="2:4" ht="16.95" customHeight="1" x14ac:dyDescent="0.25">
      <c r="B20" s="5" t="s">
        <v>39</v>
      </c>
      <c r="C20" s="10">
        <f>Informationen!H13</f>
        <v>33</v>
      </c>
      <c r="D20" s="2" t="s">
        <v>17</v>
      </c>
    </row>
    <row r="21" spans="2:4" ht="16.95" customHeight="1" x14ac:dyDescent="0.25">
      <c r="B21" s="5" t="s">
        <v>40</v>
      </c>
      <c r="C21" s="10">
        <f>Informationen!I13</f>
        <v>8</v>
      </c>
      <c r="D21" s="2" t="s">
        <v>18</v>
      </c>
    </row>
    <row r="22" spans="2:4" ht="16.95" hidden="1" customHeight="1" x14ac:dyDescent="0.25">
      <c r="B22" s="5" t="s">
        <v>41</v>
      </c>
      <c r="C22" s="10">
        <f>Informationen!F13</f>
        <v>6</v>
      </c>
      <c r="D22" s="2" t="s">
        <v>0</v>
      </c>
    </row>
    <row r="23" spans="2:4" ht="18" customHeight="1" x14ac:dyDescent="0.25">
      <c r="B23" s="80" t="s">
        <v>37</v>
      </c>
      <c r="C23" s="89"/>
      <c r="D23" s="82"/>
    </row>
    <row r="24" spans="2:4" ht="16.95" customHeight="1" x14ac:dyDescent="0.25">
      <c r="B24" s="5" t="s">
        <v>19</v>
      </c>
      <c r="C24" s="11">
        <f>C19*1000/(C20*SQRT(3))</f>
        <v>524.86388108147798</v>
      </c>
      <c r="D24" s="2" t="s">
        <v>0</v>
      </c>
    </row>
    <row r="25" spans="2:4" ht="16.95" customHeight="1" x14ac:dyDescent="0.25">
      <c r="B25" s="5" t="s">
        <v>20</v>
      </c>
      <c r="C25" s="11">
        <f>C24*100/C21</f>
        <v>6560.7985135184745</v>
      </c>
      <c r="D25" s="2" t="s">
        <v>0</v>
      </c>
    </row>
    <row r="26" spans="2:4" ht="18" customHeight="1" x14ac:dyDescent="0.25">
      <c r="B26" s="80" t="s">
        <v>42</v>
      </c>
      <c r="C26" s="81"/>
      <c r="D26" s="82"/>
    </row>
    <row r="27" spans="2:4" ht="16.95" customHeight="1" x14ac:dyDescent="0.25">
      <c r="B27" s="5" t="s">
        <v>22</v>
      </c>
      <c r="C27" s="11">
        <f>30*C24*(C8/C7)*C13</f>
        <v>85.060826208710381</v>
      </c>
      <c r="D27" s="2" t="s">
        <v>21</v>
      </c>
    </row>
    <row r="28" spans="2:4" ht="16.95" customHeight="1" x14ac:dyDescent="0.25">
      <c r="B28" s="5" t="s">
        <v>23</v>
      </c>
      <c r="C28" s="11">
        <f>2*C25*(C8/C7)*C13</f>
        <v>70.884021840591984</v>
      </c>
      <c r="D28" s="2" t="s">
        <v>21</v>
      </c>
    </row>
    <row r="29" spans="2:4" ht="16.95" customHeight="1" x14ac:dyDescent="0.25">
      <c r="B29" s="7" t="s">
        <v>24</v>
      </c>
      <c r="C29" s="12">
        <f>MAX(C27:C28)</f>
        <v>85.060826208710381</v>
      </c>
      <c r="D29" s="8" t="s">
        <v>21</v>
      </c>
    </row>
    <row r="30" spans="2:4" ht="16.95" customHeight="1" x14ac:dyDescent="0.25">
      <c r="B30" s="7" t="s">
        <v>25</v>
      </c>
      <c r="C30" s="9" t="str">
        <f>IF(C29&gt;C14,"fail","pass")</f>
        <v>pass</v>
      </c>
      <c r="D30" s="8"/>
    </row>
    <row r="31" spans="2:4" x14ac:dyDescent="0.25">
      <c r="B31" s="6"/>
      <c r="C31" s="4"/>
      <c r="D31" s="3"/>
    </row>
    <row r="32" spans="2:4" x14ac:dyDescent="0.25">
      <c r="B32" s="6"/>
      <c r="C32" s="4"/>
      <c r="D32" s="3"/>
    </row>
    <row r="33" spans="2:4" ht="24" customHeight="1" x14ac:dyDescent="0.25">
      <c r="B33" s="87" t="s">
        <v>27</v>
      </c>
      <c r="C33" s="84"/>
      <c r="D33" s="85"/>
    </row>
    <row r="34" spans="2:4" ht="18" customHeight="1" x14ac:dyDescent="0.25">
      <c r="B34" s="80" t="s">
        <v>8</v>
      </c>
      <c r="C34" s="89"/>
      <c r="D34" s="82"/>
    </row>
    <row r="35" spans="2:4" ht="16.95" customHeight="1" x14ac:dyDescent="0.25">
      <c r="B35" s="5" t="s">
        <v>28</v>
      </c>
      <c r="C35" s="20">
        <f>Informationen!C13*1000</f>
        <v>8400</v>
      </c>
      <c r="D35" s="2" t="s">
        <v>0</v>
      </c>
    </row>
    <row r="36" spans="2:4" ht="16.95" customHeight="1" x14ac:dyDescent="0.25">
      <c r="B36" s="5" t="s">
        <v>29</v>
      </c>
      <c r="C36" s="20">
        <f>Informationen!D13*1000</f>
        <v>8400</v>
      </c>
      <c r="D36" s="2" t="s">
        <v>0</v>
      </c>
    </row>
    <row r="37" spans="2:4" ht="18" customHeight="1" x14ac:dyDescent="0.25">
      <c r="B37" s="80" t="s">
        <v>42</v>
      </c>
      <c r="C37" s="81"/>
      <c r="D37" s="82"/>
    </row>
    <row r="38" spans="2:4" ht="16.95" customHeight="1" x14ac:dyDescent="0.25">
      <c r="B38" s="5" t="s">
        <v>30</v>
      </c>
      <c r="C38" s="11">
        <f>C35*C13*(C8/C7)</f>
        <v>45.377539200000001</v>
      </c>
      <c r="D38" s="2" t="s">
        <v>21</v>
      </c>
    </row>
    <row r="39" spans="2:4" ht="16.95" customHeight="1" x14ac:dyDescent="0.25">
      <c r="B39" s="5" t="s">
        <v>31</v>
      </c>
      <c r="C39" s="11">
        <f>2*C36*C13*(C8/C7)</f>
        <v>90.755078400000002</v>
      </c>
      <c r="D39" s="2" t="s">
        <v>21</v>
      </c>
    </row>
    <row r="40" spans="2:4" ht="16.8" customHeight="1" x14ac:dyDescent="0.25">
      <c r="B40" s="7" t="s">
        <v>24</v>
      </c>
      <c r="C40" s="12">
        <f>MAX(C38:C39)</f>
        <v>90.755078400000002</v>
      </c>
      <c r="D40" s="8" t="s">
        <v>21</v>
      </c>
    </row>
    <row r="41" spans="2:4" ht="16.95" customHeight="1" x14ac:dyDescent="0.25">
      <c r="B41" s="7" t="s">
        <v>25</v>
      </c>
      <c r="C41" s="9" t="str">
        <f>IF(C40&gt;C14,"fail","pass")</f>
        <v>pass</v>
      </c>
      <c r="D41" s="8"/>
    </row>
  </sheetData>
  <mergeCells count="10">
    <mergeCell ref="B26:D26"/>
    <mergeCell ref="B33:D33"/>
    <mergeCell ref="B34:D34"/>
    <mergeCell ref="B37:D37"/>
    <mergeCell ref="B1:D1"/>
    <mergeCell ref="B2:D2"/>
    <mergeCell ref="B12:D12"/>
    <mergeCell ref="B17:D17"/>
    <mergeCell ref="B18:D18"/>
    <mergeCell ref="B23:D23"/>
  </mergeCells>
  <conditionalFormatting sqref="C30">
    <cfRule type="expression" dxfId="7" priority="1">
      <formula>LOWER(TRIM(C30))="pass"</formula>
    </cfRule>
    <cfRule type="expression" dxfId="6" priority="2">
      <formula>LOWER(TRIM(C30))="fail"</formula>
    </cfRule>
  </conditionalFormatting>
  <conditionalFormatting sqref="C41">
    <cfRule type="expression" dxfId="5" priority="3">
      <formula>LOWER(TRIM(C41))="pass"</formula>
    </cfRule>
    <cfRule type="expression" dxfId="4" priority="4">
      <formula>LOWER(TRIM(C41))="fail"</formula>
    </cfRule>
  </conditionalFormatting>
  <printOptions horizontalCentered="1"/>
  <pageMargins left="0.34722222222222221" right="0.34722222222222221" top="0.34722222222222221" bottom="0.34722222222222221" header="0.16666666666666666" footer="0.16666666666666666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53EB-005B-470A-BBAF-4343DA04F184}">
  <sheetPr>
    <tabColor theme="9" tint="-0.249977111117893"/>
    <pageSetUpPr fitToPage="1"/>
  </sheetPr>
  <dimension ref="A1:O200"/>
  <sheetViews>
    <sheetView view="pageBreakPreview" zoomScale="115" zoomScaleNormal="100" zoomScaleSheetLayoutView="115" workbookViewId="0">
      <selection activeCell="M11" sqref="M11"/>
    </sheetView>
  </sheetViews>
  <sheetFormatPr baseColWidth="10" defaultRowHeight="13.8" x14ac:dyDescent="0.25"/>
  <cols>
    <col min="1" max="1" width="12.90625" customWidth="1"/>
    <col min="2" max="2" width="20.453125" customWidth="1"/>
    <col min="3" max="4" width="14.36328125" customWidth="1"/>
    <col min="5" max="5" width="15.90625" customWidth="1"/>
    <col min="6" max="6" width="11.36328125" customWidth="1"/>
    <col min="7" max="8" width="14.36328125" customWidth="1"/>
    <col min="9" max="9" width="15.90625" customWidth="1"/>
    <col min="10" max="10" width="11.1796875" customWidth="1"/>
    <col min="11" max="11" width="10.36328125" hidden="1" customWidth="1"/>
    <col min="12" max="12" width="10.90625" hidden="1" customWidth="1"/>
    <col min="13" max="50" width="10.90625" customWidth="1"/>
  </cols>
  <sheetData>
    <row r="1" spans="1:15" ht="48" customHeight="1" x14ac:dyDescent="0.25">
      <c r="A1" s="93" t="s">
        <v>66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3" spans="1:15" ht="34.049999999999997" customHeight="1" x14ac:dyDescent="0.25">
      <c r="A3" s="21" t="s">
        <v>67</v>
      </c>
      <c r="B3" s="22" t="s">
        <v>68</v>
      </c>
      <c r="C3" s="23" t="s">
        <v>69</v>
      </c>
      <c r="D3" s="22" t="s">
        <v>70</v>
      </c>
      <c r="E3" s="23" t="s">
        <v>97</v>
      </c>
      <c r="F3" s="22" t="s">
        <v>71</v>
      </c>
      <c r="G3" s="22" t="s">
        <v>72</v>
      </c>
      <c r="H3" s="22" t="s">
        <v>73</v>
      </c>
      <c r="I3" s="23" t="s">
        <v>96</v>
      </c>
      <c r="J3" s="24" t="s">
        <v>74</v>
      </c>
      <c r="K3" s="23" t="s">
        <v>98</v>
      </c>
      <c r="L3" s="23" t="s">
        <v>102</v>
      </c>
      <c r="M3" s="22" t="s">
        <v>99</v>
      </c>
      <c r="N3" s="22" t="s">
        <v>100</v>
      </c>
      <c r="O3" s="22" t="s">
        <v>101</v>
      </c>
    </row>
    <row r="4" spans="1:15" ht="24" customHeight="1" x14ac:dyDescent="0.25">
      <c r="A4" s="25" t="s">
        <v>75</v>
      </c>
      <c r="B4" s="26" t="s">
        <v>76</v>
      </c>
      <c r="C4" s="27">
        <f>'220 - 1'!C27</f>
        <v>172.72266401203899</v>
      </c>
      <c r="D4" s="27">
        <f>'220 - 1'!C28</f>
        <v>50.064540293344649</v>
      </c>
      <c r="E4" s="27">
        <f>'220 - 1'!C14</f>
        <v>740</v>
      </c>
      <c r="F4" s="28" t="str">
        <f>IF(AND(C4&lt;=E4,D4&lt;=E4),"pass","fail")</f>
        <v>pass</v>
      </c>
      <c r="G4" s="27">
        <v>195.68709999999999</v>
      </c>
      <c r="H4" s="27">
        <v>56.7209</v>
      </c>
      <c r="I4" s="27">
        <v>740</v>
      </c>
      <c r="J4" s="29" t="str">
        <f t="shared" ref="J4:J23" si="0">IF(AND(G4&lt;=I4,H4&lt;=I4),"pass","fail")</f>
        <v>pass</v>
      </c>
      <c r="K4" s="27">
        <f>ResultsComparison[[#This Row],[SECP criterion 1 (V)]]/ResultsComparison[[#This Row],[Excel criterion 1 (V)]]*100-100</f>
        <v>13.295554534962676</v>
      </c>
      <c r="L4" s="27">
        <f>ResultsComparison[[#This Row],[SECP criterion 2 (V)]]/ResultsComparison[[#This Row],[Excel criterion 2 (V)]]*100-100</f>
        <v>13.295557429776721</v>
      </c>
      <c r="M4" s="36">
        <f>ResultsComparison[[#This Row],[Excel criterion 2 (V)]]/ResultsComparison[[#This Row],[SECP criterion 2 (V)]]</f>
        <v>0.88264714229401597</v>
      </c>
      <c r="N4" s="35">
        <f>N5</f>
        <v>1.0091999999999999</v>
      </c>
      <c r="O4" s="36">
        <f>O5</f>
        <v>5.3754725587969343E-2</v>
      </c>
    </row>
    <row r="5" spans="1:15" ht="24" customHeight="1" x14ac:dyDescent="0.25">
      <c r="A5" s="25" t="s">
        <v>75</v>
      </c>
      <c r="B5" s="26" t="s">
        <v>77</v>
      </c>
      <c r="C5" s="27">
        <f>'220 - 1'!C38</f>
        <v>498.60738281250002</v>
      </c>
      <c r="D5" s="27">
        <f>'220 - 1'!C39</f>
        <v>997.21476562500004</v>
      </c>
      <c r="E5" s="27">
        <f>'220 - 1'!C14</f>
        <v>740</v>
      </c>
      <c r="F5" s="28" t="str">
        <f t="shared" ref="F5:F23" si="1">IF(AND(C5&lt;=E5,D5&lt;=E5),"pass","fail")</f>
        <v>fail</v>
      </c>
      <c r="G5" s="27">
        <v>501.82499999999999</v>
      </c>
      <c r="H5" s="27">
        <v>1003.65</v>
      </c>
      <c r="I5" s="27">
        <v>740</v>
      </c>
      <c r="J5" s="29" t="str">
        <f t="shared" si="0"/>
        <v>fail</v>
      </c>
      <c r="K5" s="27">
        <f>ResultsComparison[[#This Row],[SECP criterion 1 (V)]]/ResultsComparison[[#This Row],[Excel criterion 1 (V)]]*100-100</f>
        <v>0.64532080719510532</v>
      </c>
      <c r="L5" s="27">
        <f>ResultsComparison[[#This Row],[SECP criterion 2 (V)]]/ResultsComparison[[#This Row],[Excel criterion 2 (V)]]*100-100</f>
        <v>0.64532080719510532</v>
      </c>
      <c r="M5" s="36">
        <f>ResultsComparison[[#This Row],[Excel criterion 2 (V)]]/ResultsComparison[[#This Row],[SECP criterion 2 (V)]]</f>
        <v>0.99358816880884782</v>
      </c>
      <c r="N5" s="35">
        <f>'220 - 1'!C13/ResultsComparison[[#This Row],[Excel / SECP (%)]] - ('220 - 1'!C6 + '220 - 1'!C9)</f>
        <v>1.0091999999999999</v>
      </c>
      <c r="O5" s="36">
        <f>(ResultsComparison[[#This Row],[RL SECP (Ohm)]]/('220 - 1'!C13-'220 - 1'!C9-'220 - 1'!C6)-1)</f>
        <v>5.3754725587969343E-2</v>
      </c>
    </row>
    <row r="6" spans="1:15" ht="24" customHeight="1" x14ac:dyDescent="0.25">
      <c r="A6" s="25" t="s">
        <v>78</v>
      </c>
      <c r="B6" s="26" t="s">
        <v>76</v>
      </c>
      <c r="C6" s="27">
        <f>'150 - 1'!C27</f>
        <v>220.83624211744689</v>
      </c>
      <c r="D6" s="27">
        <f>'150 - 1'!C28</f>
        <v>81.791200784239578</v>
      </c>
      <c r="E6" s="27">
        <f>'150 - 1'!C14</f>
        <v>340</v>
      </c>
      <c r="F6" s="28" t="str">
        <f t="shared" si="1"/>
        <v>pass</v>
      </c>
      <c r="G6" s="27">
        <v>242.76939999999999</v>
      </c>
      <c r="H6" s="27">
        <v>89.914599999999993</v>
      </c>
      <c r="I6" s="27">
        <v>340</v>
      </c>
      <c r="J6" s="29" t="str">
        <f t="shared" si="0"/>
        <v>pass</v>
      </c>
      <c r="K6" s="27">
        <f>ResultsComparison[[#This Row],[SECP criterion 1 (V)]]/ResultsComparison[[#This Row],[Excel criterion 1 (V)]]*100-100</f>
        <v>9.9318652012238147</v>
      </c>
      <c r="L6" s="27">
        <f>ResultsComparison[[#This Row],[SECP criterion 2 (V)]]/ResultsComparison[[#This Row],[Excel criterion 2 (V)]]*100-100</f>
        <v>9.9318742577083157</v>
      </c>
      <c r="M6" s="36">
        <f>ResultsComparison[[#This Row],[Excel criterion 2 (V)]]/ResultsComparison[[#This Row],[SECP criterion 2 (V)]]</f>
        <v>0.90965428066453702</v>
      </c>
      <c r="N6" s="35">
        <f>N7</f>
        <v>0.72880000000000056</v>
      </c>
      <c r="O6" s="36">
        <f>O7</f>
        <v>5.3658342644077539E-2</v>
      </c>
    </row>
    <row r="7" spans="1:15" ht="24" customHeight="1" x14ac:dyDescent="0.25">
      <c r="A7" s="25" t="s">
        <v>78</v>
      </c>
      <c r="B7" s="26" t="s">
        <v>77</v>
      </c>
      <c r="C7" s="27">
        <f>'150 - 1'!C38</f>
        <v>40.71769845</v>
      </c>
      <c r="D7" s="27">
        <f>'150 - 1'!C39</f>
        <v>616.93482499999993</v>
      </c>
      <c r="E7" s="27">
        <f>'150 - 1'!C14</f>
        <v>340</v>
      </c>
      <c r="F7" s="28" t="str">
        <f t="shared" si="1"/>
        <v>fail</v>
      </c>
      <c r="G7" s="27">
        <v>40.913699999999999</v>
      </c>
      <c r="H7" s="27">
        <v>619.904</v>
      </c>
      <c r="I7" s="27">
        <v>340</v>
      </c>
      <c r="J7" s="29" t="str">
        <f t="shared" si="0"/>
        <v>fail</v>
      </c>
      <c r="K7" s="27">
        <f>ResultsComparison[[#This Row],[SECP criterion 1 (V)]]/ResultsComparison[[#This Row],[Excel criterion 1 (V)]]*100-100</f>
        <v>0.48136696685025981</v>
      </c>
      <c r="L7" s="27">
        <f>ResultsComparison[[#This Row],[SECP criterion 2 (V)]]/ResultsComparison[[#This Row],[Excel criterion 2 (V)]]*100-100</f>
        <v>0.48127855320861102</v>
      </c>
      <c r="M7" s="36">
        <f>ResultsComparison[[#This Row],[Excel criterion 2 (V)]]/ResultsComparison[[#This Row],[SECP criterion 2 (V)]]</f>
        <v>0.99521026642835009</v>
      </c>
      <c r="N7" s="35">
        <f>'150 - 1'!C13/ResultsComparison[[#This Row],[Excel / SECP (%)]] - ('150 - 1'!C6 + '150 - 1'!C9)</f>
        <v>0.72880000000000056</v>
      </c>
      <c r="O7" s="36">
        <f>(ResultsComparison[[#This Row],[RL SECP (Ohm)]]/('150 - 1'!C13-'150 - 1'!C9-'150 - 1'!C6)-1)</f>
        <v>5.3658342644077539E-2</v>
      </c>
    </row>
    <row r="8" spans="1:15" ht="24" customHeight="1" x14ac:dyDescent="0.25">
      <c r="A8" s="25" t="s">
        <v>79</v>
      </c>
      <c r="B8" s="26" t="s">
        <v>76</v>
      </c>
      <c r="C8" s="27">
        <f>'150 - 2'!C27</f>
        <v>231.52186673603302</v>
      </c>
      <c r="D8" s="27">
        <f>'150 - 2'!C28</f>
        <v>308.69582231471065</v>
      </c>
      <c r="E8" s="27">
        <f>'150 - 2'!C14</f>
        <v>340</v>
      </c>
      <c r="F8" s="28" t="str">
        <f t="shared" si="1"/>
        <v>pass</v>
      </c>
      <c r="G8" s="27">
        <v>254.5163</v>
      </c>
      <c r="H8" s="27">
        <v>339.35509999999999</v>
      </c>
      <c r="I8" s="27">
        <v>340</v>
      </c>
      <c r="J8" s="29" t="str">
        <f t="shared" si="0"/>
        <v>pass</v>
      </c>
      <c r="K8" s="27">
        <f>ResultsComparison[[#This Row],[SECP criterion 1 (V)]]/ResultsComparison[[#This Row],[Excel criterion 1 (V)]]*100-100</f>
        <v>9.931862414613235</v>
      </c>
      <c r="L8" s="27">
        <f>ResultsComparison[[#This Row],[SECP criterion 2 (V)]]/ResultsComparison[[#This Row],[Excel criterion 2 (V)]]*100-100</f>
        <v>9.931873212729343</v>
      </c>
      <c r="M8" s="36">
        <f>ResultsComparison[[#This Row],[Excel criterion 2 (V)]]/ResultsComparison[[#This Row],[SECP criterion 2 (V)]]</f>
        <v>0.90965428931143411</v>
      </c>
      <c r="N8" s="35">
        <f>N9</f>
        <v>0.72879999999999967</v>
      </c>
      <c r="O8" s="36">
        <f>O9</f>
        <v>5.3658342644076207E-2</v>
      </c>
    </row>
    <row r="9" spans="1:15" ht="24" customHeight="1" x14ac:dyDescent="0.25">
      <c r="A9" s="25" t="s">
        <v>79</v>
      </c>
      <c r="B9" s="26" t="s">
        <v>77</v>
      </c>
      <c r="C9" s="27">
        <f>'150 - 2'!C38</f>
        <v>178.91109925000001</v>
      </c>
      <c r="D9" s="27">
        <f>'150 - 2'!C39</f>
        <v>493.54786000000001</v>
      </c>
      <c r="E9" s="27">
        <f>'150 - 2'!C14</f>
        <v>340</v>
      </c>
      <c r="F9" s="28" t="str">
        <f t="shared" si="1"/>
        <v>fail</v>
      </c>
      <c r="G9" s="27">
        <v>179.7722</v>
      </c>
      <c r="H9" s="27">
        <v>495.92320000000001</v>
      </c>
      <c r="I9" s="27">
        <v>340</v>
      </c>
      <c r="J9" s="29" t="str">
        <f t="shared" si="0"/>
        <v>fail</v>
      </c>
      <c r="K9" s="27">
        <f>ResultsComparison[[#This Row],[SECP criterion 1 (V)]]/ResultsComparison[[#This Row],[Excel criterion 1 (V)]]*100-100</f>
        <v>0.48130091068119896</v>
      </c>
      <c r="L9" s="27">
        <f>ResultsComparison[[#This Row],[SECP criterion 2 (V)]]/ResultsComparison[[#This Row],[Excel criterion 2 (V)]]*100-100</f>
        <v>0.48127855320861102</v>
      </c>
      <c r="M9" s="36">
        <f>ResultsComparison[[#This Row],[Excel criterion 2 (V)]]/ResultsComparison[[#This Row],[SECP criterion 2 (V)]]</f>
        <v>0.9952102664283502</v>
      </c>
      <c r="N9" s="35">
        <f>'150 - 2'!C13/ResultsComparison[[#This Row],[Excel / SECP (%)]] - ('150 - 2'!C6 + '150 - 2'!C9)</f>
        <v>0.72879999999999967</v>
      </c>
      <c r="O9" s="36">
        <f>(ResultsComparison[[#This Row],[RL SECP (Ohm)]]/('150 - 2'!C13-'150 - 2'!C9-'150 - 2'!C6)-1)</f>
        <v>5.3658342644076207E-2</v>
      </c>
    </row>
    <row r="10" spans="1:15" ht="24" customHeight="1" x14ac:dyDescent="0.25">
      <c r="A10" s="25" t="s">
        <v>80</v>
      </c>
      <c r="B10" s="26" t="s">
        <v>76</v>
      </c>
      <c r="C10" s="27">
        <f>'150 - 3'!C27</f>
        <v>238.20183605300696</v>
      </c>
      <c r="D10" s="27">
        <f>'150 - 3'!C28</f>
        <v>88.222902241854428</v>
      </c>
      <c r="E10" s="27">
        <f>'150 - 3'!C14</f>
        <v>750</v>
      </c>
      <c r="F10" s="28" t="str">
        <f t="shared" si="1"/>
        <v>pass</v>
      </c>
      <c r="G10" s="27">
        <v>263.5138</v>
      </c>
      <c r="H10" s="27">
        <v>97.597700000000003</v>
      </c>
      <c r="I10" s="27">
        <v>750</v>
      </c>
      <c r="J10" s="29" t="str">
        <f t="shared" si="0"/>
        <v>pass</v>
      </c>
      <c r="K10" s="27">
        <f>ResultsComparison[[#This Row],[SECP criterion 1 (V)]]/ResultsComparison[[#This Row],[Excel criterion 1 (V)]]*100-100</f>
        <v>10.626267356461682</v>
      </c>
      <c r="L10" s="27">
        <f>ResultsComparison[[#This Row],[SECP criterion 2 (V)]]/ResultsComparison[[#This Row],[Excel criterion 2 (V)]]*100-100</f>
        <v>10.626263158341231</v>
      </c>
      <c r="M10" s="36">
        <f>ResultsComparison[[#This Row],[Excel criterion 2 (V)]]/ResultsComparison[[#This Row],[SECP criterion 2 (V)]]</f>
        <v>0.9039444806778687</v>
      </c>
      <c r="N10" s="35">
        <f>N11</f>
        <v>0.84100000000000108</v>
      </c>
      <c r="O10" s="36">
        <f>O11</f>
        <v>5.3754725587970897E-2</v>
      </c>
    </row>
    <row r="11" spans="1:15" ht="24" customHeight="1" x14ac:dyDescent="0.25">
      <c r="A11" s="25" t="s">
        <v>80</v>
      </c>
      <c r="B11" s="26" t="s">
        <v>77</v>
      </c>
      <c r="C11" s="27">
        <f>'150 - 3'!C38</f>
        <v>266.17914999999999</v>
      </c>
      <c r="D11" s="27">
        <f>'150 - 3'!C39</f>
        <v>532.35829999999999</v>
      </c>
      <c r="E11" s="27">
        <f>'150 - 3'!C14</f>
        <v>750</v>
      </c>
      <c r="F11" s="28" t="str">
        <f t="shared" si="1"/>
        <v>pass</v>
      </c>
      <c r="G11" s="27">
        <v>267.55200000000002</v>
      </c>
      <c r="H11" s="27">
        <v>535.10400000000004</v>
      </c>
      <c r="I11" s="27">
        <v>750</v>
      </c>
      <c r="J11" s="29" t="str">
        <f t="shared" si="0"/>
        <v>pass</v>
      </c>
      <c r="K11" s="27">
        <f>ResultsComparison[[#This Row],[SECP criterion 1 (V)]]/ResultsComparison[[#This Row],[Excel criterion 1 (V)]]*100-100</f>
        <v>0.51576165901801119</v>
      </c>
      <c r="L11" s="27">
        <f>ResultsComparison[[#This Row],[SECP criterion 2 (V)]]/ResultsComparison[[#This Row],[Excel criterion 2 (V)]]*100-100</f>
        <v>0.51576165901801119</v>
      </c>
      <c r="M11" s="36">
        <f>ResultsComparison[[#This Row],[Excel criterion 2 (V)]]/ResultsComparison[[#This Row],[SECP criterion 2 (V)]]</f>
        <v>0.99486884792488928</v>
      </c>
      <c r="N11" s="35">
        <f>'150 - 3'!C13/ResultsComparison[[#This Row],[Excel / SECP (%)]] - ('150 - 3'!C6 + '150 - 3'!C9)</f>
        <v>0.84100000000000108</v>
      </c>
      <c r="O11" s="36">
        <f>(ResultsComparison[[#This Row],[RL SECP (Ohm)]]/('150 - 3'!C13-'150 - 3'!C9-'150 - 3'!C6)-1)</f>
        <v>5.3754725587970897E-2</v>
      </c>
    </row>
    <row r="12" spans="1:15" ht="24" customHeight="1" x14ac:dyDescent="0.25">
      <c r="A12" s="25" t="s">
        <v>81</v>
      </c>
      <c r="B12" s="26" t="s">
        <v>76</v>
      </c>
      <c r="C12" s="27">
        <f>'150 - 4'!C27</f>
        <v>119.29343872136002</v>
      </c>
      <c r="D12" s="27">
        <f>'150 - 4'!C28</f>
        <v>53.019306098382224</v>
      </c>
      <c r="E12" s="27">
        <f>'150 - 4'!C14</f>
        <v>700</v>
      </c>
      <c r="F12" s="28" t="str">
        <f t="shared" si="1"/>
        <v>pass</v>
      </c>
      <c r="G12" s="27">
        <v>131.19999999999999</v>
      </c>
      <c r="H12" s="27">
        <v>58.311100000000003</v>
      </c>
      <c r="I12" s="27">
        <v>700</v>
      </c>
      <c r="J12" s="29" t="str">
        <f t="shared" si="0"/>
        <v>pass</v>
      </c>
      <c r="K12" s="27">
        <f>ResultsComparison[[#This Row],[SECP criterion 1 (V)]]/ResultsComparison[[#This Row],[Excel criterion 1 (V)]]*100-100</f>
        <v>9.9809020565253093</v>
      </c>
      <c r="L12" s="27">
        <f>ResultsComparison[[#This Row],[SECP criterion 2 (V)]]/ResultsComparison[[#This Row],[Excel criterion 2 (V)]]*100-100</f>
        <v>9.9808810997985518</v>
      </c>
      <c r="M12" s="36">
        <f>ResultsComparison[[#This Row],[Excel criterion 2 (V)]]/ResultsComparison[[#This Row],[SECP criterion 2 (V)]]</f>
        <v>0.90924894399835055</v>
      </c>
      <c r="N12" s="35">
        <f>N13</f>
        <v>0.78490000000000215</v>
      </c>
      <c r="O12" s="36">
        <f>O13</f>
        <v>5.3709976364021639E-2</v>
      </c>
    </row>
    <row r="13" spans="1:15" ht="24" customHeight="1" x14ac:dyDescent="0.25">
      <c r="A13" s="25" t="s">
        <v>81</v>
      </c>
      <c r="B13" s="26" t="s">
        <v>77</v>
      </c>
      <c r="C13" s="27">
        <f>'150 - 4'!C38</f>
        <v>206.62229687499999</v>
      </c>
      <c r="D13" s="27">
        <f>'150 - 4'!C39</f>
        <v>413.24459374999998</v>
      </c>
      <c r="E13" s="27">
        <f>'150 - 4'!C14</f>
        <v>700</v>
      </c>
      <c r="F13" s="28" t="str">
        <f t="shared" si="1"/>
        <v>pass</v>
      </c>
      <c r="G13" s="27">
        <v>207.6225</v>
      </c>
      <c r="H13" s="27">
        <v>415.245</v>
      </c>
      <c r="I13" s="27">
        <v>700</v>
      </c>
      <c r="J13" s="29" t="str">
        <f t="shared" si="0"/>
        <v>pass</v>
      </c>
      <c r="K13" s="27">
        <f>ResultsComparison[[#This Row],[SECP criterion 1 (V)]]/ResultsComparison[[#This Row],[Excel criterion 1 (V)]]*100-100</f>
        <v>0.48407318093317997</v>
      </c>
      <c r="L13" s="27">
        <f>ResultsComparison[[#This Row],[SECP criterion 2 (V)]]/ResultsComparison[[#This Row],[Excel criterion 2 (V)]]*100-100</f>
        <v>0.48407318093317997</v>
      </c>
      <c r="M13" s="36">
        <f>ResultsComparison[[#This Row],[Excel criterion 2 (V)]]/ResultsComparison[[#This Row],[SECP criterion 2 (V)]]</f>
        <v>0.99518258799022252</v>
      </c>
      <c r="N13" s="35">
        <f>'150 - 4'!C13/ResultsComparison[[#This Row],[Excel / SECP (%)]] - ('150 - 4'!C6 + '150 - 4'!C9)</f>
        <v>0.78490000000000215</v>
      </c>
      <c r="O13" s="36">
        <f>(ResultsComparison[[#This Row],[RL SECP (Ohm)]]/('150 - 4'!C13-'150 - 4'!C9-'150 - 4'!C6)-1)</f>
        <v>5.3709976364021639E-2</v>
      </c>
    </row>
    <row r="14" spans="1:15" ht="24" customHeight="1" x14ac:dyDescent="0.25">
      <c r="A14" s="25" t="s">
        <v>82</v>
      </c>
      <c r="B14" s="26" t="s">
        <v>76</v>
      </c>
      <c r="C14" s="27">
        <f>'33 - 1'!C27</f>
        <v>332.29738459069171</v>
      </c>
      <c r="D14" s="27">
        <f>'33 - 1'!C28</f>
        <v>184.60965810593981</v>
      </c>
      <c r="E14" s="27">
        <f>'33 - 1'!C14</f>
        <v>580</v>
      </c>
      <c r="F14" s="28" t="str">
        <f t="shared" si="1"/>
        <v>pass</v>
      </c>
      <c r="G14" s="27">
        <v>341.44959999999998</v>
      </c>
      <c r="H14" s="27">
        <v>189.6942</v>
      </c>
      <c r="I14" s="27">
        <v>580</v>
      </c>
      <c r="J14" s="29" t="str">
        <f t="shared" si="0"/>
        <v>pass</v>
      </c>
      <c r="K14" s="27">
        <f>ResultsComparison[[#This Row],[SECP criterion 1 (V)]]/ResultsComparison[[#This Row],[Excel criterion 1 (V)]]*100-100</f>
        <v>2.7542243284826213</v>
      </c>
      <c r="L14" s="27">
        <f>ResultsComparison[[#This Row],[SECP criterion 2 (V)]]/ResultsComparison[[#This Row],[Excel criterion 2 (V)]]*100-100</f>
        <v>2.7542122910722071</v>
      </c>
      <c r="M14" s="36">
        <f>ResultsComparison[[#This Row],[Excel criterion 2 (V)]]/ResultsComparison[[#This Row],[SECP criterion 2 (V)]]</f>
        <v>0.97319611303845777</v>
      </c>
      <c r="N14" s="35">
        <f>N15</f>
        <v>0.38259920634920519</v>
      </c>
      <c r="O14" s="36">
        <f>O15</f>
        <v>3.7138564229323379E-2</v>
      </c>
    </row>
    <row r="15" spans="1:15" ht="24" customHeight="1" x14ac:dyDescent="0.25">
      <c r="A15" s="25" t="s">
        <v>82</v>
      </c>
      <c r="B15" s="26" t="s">
        <v>77</v>
      </c>
      <c r="C15" s="27">
        <f>'33 - 1'!C38</f>
        <v>181.30012529999999</v>
      </c>
      <c r="D15" s="27">
        <f>'33 - 1'!C39</f>
        <v>362.60025059999998</v>
      </c>
      <c r="E15" s="27">
        <f>'33 - 1'!C14</f>
        <v>580</v>
      </c>
      <c r="F15" s="28" t="str">
        <f t="shared" si="1"/>
        <v>pass</v>
      </c>
      <c r="G15" s="27">
        <v>181.47280000000001</v>
      </c>
      <c r="H15" s="27">
        <v>362.94549999999998</v>
      </c>
      <c r="I15" s="27">
        <v>580</v>
      </c>
      <c r="J15" s="29" t="str">
        <f t="shared" si="0"/>
        <v>pass</v>
      </c>
      <c r="K15" s="27">
        <f>ResultsComparison[[#This Row],[SECP criterion 1 (V)]]/ResultsComparison[[#This Row],[Excel criterion 1 (V)]]*100-100</f>
        <v>9.5242460375729365E-2</v>
      </c>
      <c r="L15" s="27">
        <f>ResultsComparison[[#This Row],[SECP criterion 2 (V)]]/ResultsComparison[[#This Row],[Excel criterion 2 (V)]]*100-100</f>
        <v>9.5214881795783413E-2</v>
      </c>
      <c r="M15" s="36">
        <f>ResultsComparison[[#This Row],[Excel criterion 2 (V)]]/ResultsComparison[[#This Row],[SECP criterion 2 (V)]]</f>
        <v>0.99904875690702877</v>
      </c>
      <c r="N15" s="35">
        <f>'33 - 1'!C13/ResultsComparison[[#This Row],[Excel / SECP (%)]] - ('33 - 1'!C6 + '33 - 1'!C9)</f>
        <v>0.38259920634920519</v>
      </c>
      <c r="O15" s="36">
        <f>(ResultsComparison[[#This Row],[RL SECP (Ohm)]]/('33 - 1'!C13-'33 - 1'!C9-'33 - 1'!C6)-1)</f>
        <v>3.7138564229323379E-2</v>
      </c>
    </row>
    <row r="16" spans="1:15" ht="24" customHeight="1" x14ac:dyDescent="0.25">
      <c r="A16" s="25" t="s">
        <v>83</v>
      </c>
      <c r="B16" s="26" t="s">
        <v>76</v>
      </c>
      <c r="C16" s="27">
        <f>'33 - 2'!C27</f>
        <v>648.79216283535402</v>
      </c>
      <c r="D16" s="27">
        <f>'33 - 2'!C28</f>
        <v>360.44009046408559</v>
      </c>
      <c r="E16" s="27">
        <f>'33 - 2'!C14</f>
        <v>3000</v>
      </c>
      <c r="F16" s="28" t="str">
        <f t="shared" si="1"/>
        <v>pass</v>
      </c>
      <c r="G16" s="27">
        <v>688.47969999999998</v>
      </c>
      <c r="H16" s="27">
        <v>382.48869999999999</v>
      </c>
      <c r="I16" s="27">
        <v>3000</v>
      </c>
      <c r="J16" s="29" t="str">
        <f t="shared" si="0"/>
        <v>pass</v>
      </c>
      <c r="K16" s="27">
        <f>ResultsComparison[[#This Row],[SECP criterion 1 (V)]]/ResultsComparison[[#This Row],[Excel criterion 1 (V)]]*100-100</f>
        <v>6.1171418888914104</v>
      </c>
      <c r="L16" s="27">
        <f>ResultsComparison[[#This Row],[SECP criterion 2 (V)]]/ResultsComparison[[#This Row],[Excel criterion 2 (V)]]*100-100</f>
        <v>6.1171357235888024</v>
      </c>
      <c r="M16" s="36">
        <f>ResultsComparison[[#This Row],[Excel criterion 2 (V)]]/ResultsComparison[[#This Row],[SECP criterion 2 (V)]]</f>
        <v>0.94235487339648361</v>
      </c>
      <c r="N16" s="35">
        <f>N17</f>
        <v>1.2333987500000028</v>
      </c>
      <c r="O16" s="36">
        <f>O17</f>
        <v>5.3696704151010355E-2</v>
      </c>
    </row>
    <row r="17" spans="1:15" ht="24" customHeight="1" x14ac:dyDescent="0.25">
      <c r="A17" s="25" t="s">
        <v>83</v>
      </c>
      <c r="B17" s="26" t="s">
        <v>77</v>
      </c>
      <c r="C17" s="27">
        <f>'33 - 2'!C38</f>
        <v>282.54059166666661</v>
      </c>
      <c r="D17" s="27">
        <f>'33 - 2'!C39</f>
        <v>565.08118333333323</v>
      </c>
      <c r="E17" s="27">
        <f>'33 - 2'!C14</f>
        <v>3000</v>
      </c>
      <c r="F17" s="28" t="str">
        <f t="shared" si="1"/>
        <v>pass</v>
      </c>
      <c r="G17" s="27">
        <v>283.37869999999998</v>
      </c>
      <c r="H17" s="27">
        <v>566.75729999999999</v>
      </c>
      <c r="I17" s="27">
        <v>3000</v>
      </c>
      <c r="J17" s="29" t="str">
        <f t="shared" si="0"/>
        <v>pass</v>
      </c>
      <c r="K17" s="27">
        <f>ResultsComparison[[#This Row],[SECP criterion 1 (V)]]/ResultsComparison[[#This Row],[Excel criterion 1 (V)]]*100-100</f>
        <v>0.29663289383996982</v>
      </c>
      <c r="L17" s="27">
        <f>ResultsComparison[[#This Row],[SECP criterion 2 (V)]]/ResultsComparison[[#This Row],[Excel criterion 2 (V)]]*100-100</f>
        <v>0.29661519726769825</v>
      </c>
      <c r="M17" s="36">
        <f>ResultsComparison[[#This Row],[Excel criterion 2 (V)]]/ResultsComparison[[#This Row],[SECP criterion 2 (V)]]</f>
        <v>0.99704262006564937</v>
      </c>
      <c r="N17" s="35">
        <f>'33 - 2'!C13/ResultsComparison[[#This Row],[Excel / SECP (%)]] - ('33 - 2'!C6 + '33 - 2'!C9)</f>
        <v>1.2333987500000028</v>
      </c>
      <c r="O17" s="36">
        <f>(ResultsComparison[[#This Row],[RL SECP (Ohm)]]/('33 - 2'!C13-'33 - 2'!C9-'33 - 2'!C6)-1)</f>
        <v>5.3696704151010355E-2</v>
      </c>
    </row>
    <row r="18" spans="1:15" ht="24" customHeight="1" x14ac:dyDescent="0.25">
      <c r="A18" s="25" t="s">
        <v>84</v>
      </c>
      <c r="B18" s="26" t="s">
        <v>76</v>
      </c>
      <c r="C18" s="27">
        <f>'33 - 3'!C27</f>
        <v>475.27835036412239</v>
      </c>
      <c r="D18" s="27">
        <f>'33 - 3'!C28</f>
        <v>264.04352798006795</v>
      </c>
      <c r="E18" s="27">
        <f>'33 - 3'!C14</f>
        <v>680</v>
      </c>
      <c r="F18" s="28" t="str">
        <f t="shared" si="1"/>
        <v>pass</v>
      </c>
      <c r="G18" s="27">
        <v>496.36939999999998</v>
      </c>
      <c r="H18" s="27">
        <v>275.76080000000002</v>
      </c>
      <c r="I18" s="27">
        <v>680</v>
      </c>
      <c r="J18" s="29" t="str">
        <f t="shared" si="0"/>
        <v>pass</v>
      </c>
      <c r="K18" s="27">
        <f>ResultsComparison[[#This Row],[SECP criterion 1 (V)]]/ResultsComparison[[#This Row],[Excel criterion 1 (V)]]*100-100</f>
        <v>4.4376205269436753</v>
      </c>
      <c r="L18" s="27">
        <f>ResultsComparison[[#This Row],[SECP criterion 2 (V)]]/ResultsComparison[[#This Row],[Excel criterion 2 (V)]]*100-100</f>
        <v>4.4376289430644817</v>
      </c>
      <c r="M18" s="36">
        <f>ResultsComparison[[#This Row],[Excel criterion 2 (V)]]/ResultsComparison[[#This Row],[SECP criterion 2 (V)]]</f>
        <v>0.95750929058832124</v>
      </c>
      <c r="N18" s="35">
        <f>N19</f>
        <v>0.6166999999999998</v>
      </c>
      <c r="O18" s="36">
        <f>O19</f>
        <v>5.3697772030215418E-2</v>
      </c>
    </row>
    <row r="19" spans="1:15" ht="24" customHeight="1" x14ac:dyDescent="0.25">
      <c r="A19" s="25" t="s">
        <v>84</v>
      </c>
      <c r="B19" s="26" t="s">
        <v>77</v>
      </c>
      <c r="C19" s="27">
        <f>'33 - 3'!C38</f>
        <v>169.42115737500001</v>
      </c>
      <c r="D19" s="27">
        <f>'33 - 3'!C39</f>
        <v>350.52653249999997</v>
      </c>
      <c r="E19" s="27">
        <f>'33 - 3'!C14</f>
        <v>680</v>
      </c>
      <c r="F19" s="28" t="str">
        <f t="shared" si="1"/>
        <v>pass</v>
      </c>
      <c r="G19" s="27">
        <v>169.78569999999999</v>
      </c>
      <c r="H19" s="27">
        <v>351.2808</v>
      </c>
      <c r="I19" s="27">
        <v>680</v>
      </c>
      <c r="J19" s="29" t="str">
        <f t="shared" si="0"/>
        <v>pass</v>
      </c>
      <c r="K19" s="27">
        <f>ResultsComparison[[#This Row],[SECP criterion 1 (V)]]/ResultsComparison[[#This Row],[Excel criterion 1 (V)]]*100-100</f>
        <v>0.21516948098347655</v>
      </c>
      <c r="L19" s="27">
        <f>ResultsComparison[[#This Row],[SECP criterion 2 (V)]]/ResultsComparison[[#This Row],[Excel criterion 2 (V)]]*100-100</f>
        <v>0.21518128588455454</v>
      </c>
      <c r="M19" s="36">
        <f>ResultsComparison[[#This Row],[Excel criterion 2 (V)]]/ResultsComparison[[#This Row],[SECP criterion 2 (V)]]</f>
        <v>0.99785280749759164</v>
      </c>
      <c r="N19" s="35">
        <f>'33 - 3'!C13/ResultsComparison[[#This Row],[Excel / SECP (%)]] - ('33 - 3'!C6 + '33 - 3'!C9)</f>
        <v>0.6166999999999998</v>
      </c>
      <c r="O19" s="36">
        <f>(ResultsComparison[[#This Row],[RL SECP (Ohm)]]/('33 - 3'!C13-'33 - 3'!C9-'33 - 3'!C6)-1)</f>
        <v>5.3697772030215418E-2</v>
      </c>
    </row>
    <row r="20" spans="1:15" ht="24" customHeight="1" x14ac:dyDescent="0.25">
      <c r="A20" s="25" t="s">
        <v>85</v>
      </c>
      <c r="B20" s="26" t="s">
        <v>76</v>
      </c>
      <c r="C20" s="27">
        <f>'33 - 4'!C27</f>
        <v>511.75142980756897</v>
      </c>
      <c r="D20" s="27">
        <f>'33 - 4'!C28</f>
        <v>341.16761987171259</v>
      </c>
      <c r="E20" s="27">
        <f>'33 - 4'!C14</f>
        <v>760</v>
      </c>
      <c r="F20" s="28" t="str">
        <f t="shared" si="1"/>
        <v>pass</v>
      </c>
      <c r="G20" s="27">
        <v>537.31539999999995</v>
      </c>
      <c r="H20" s="27">
        <v>358.21030000000002</v>
      </c>
      <c r="I20" s="27">
        <v>760</v>
      </c>
      <c r="J20" s="29" t="str">
        <f t="shared" si="0"/>
        <v>pass</v>
      </c>
      <c r="K20" s="27">
        <f>ResultsComparison[[#This Row],[SECP criterion 1 (V)]]/ResultsComparison[[#This Row],[Excel criterion 1 (V)]]*100-100</f>
        <v>4.9953881324852745</v>
      </c>
      <c r="L20" s="27">
        <f>ResultsComparison[[#This Row],[SECP criterion 2 (V)]]/ResultsComparison[[#This Row],[Excel criterion 2 (V)]]*100-100</f>
        <v>4.9953979028537105</v>
      </c>
      <c r="M20" s="36">
        <f>ResultsComparison[[#This Row],[Excel criterion 2 (V)]]/ResultsComparison[[#This Row],[SECP criterion 2 (V)]]</f>
        <v>0.95242269658832412</v>
      </c>
      <c r="N20" s="35">
        <f>N21</f>
        <v>0.89700172413793311</v>
      </c>
      <c r="O20" s="36">
        <f>O21</f>
        <v>5.3678439734211825E-2</v>
      </c>
    </row>
    <row r="21" spans="1:15" ht="24" customHeight="1" x14ac:dyDescent="0.25">
      <c r="A21" s="25" t="s">
        <v>85</v>
      </c>
      <c r="B21" s="26" t="s">
        <v>77</v>
      </c>
      <c r="C21" s="27">
        <f>'33 - 4'!C38</f>
        <v>182.42261499999998</v>
      </c>
      <c r="D21" s="27">
        <f>'33 - 4'!C39</f>
        <v>364.84522999999996</v>
      </c>
      <c r="E21" s="27">
        <f>'33 - 4'!C14</f>
        <v>760</v>
      </c>
      <c r="F21" s="28" t="str">
        <f t="shared" si="1"/>
        <v>pass</v>
      </c>
      <c r="G21" s="27">
        <v>182.86429999999999</v>
      </c>
      <c r="H21" s="27">
        <v>365.7287</v>
      </c>
      <c r="I21" s="27">
        <v>760</v>
      </c>
      <c r="J21" s="29" t="str">
        <f t="shared" si="0"/>
        <v>pass</v>
      </c>
      <c r="K21" s="27">
        <f>ResultsComparison[[#This Row],[SECP criterion 1 (V)]]/ResultsComparison[[#This Row],[Excel criterion 1 (V)]]*100-100</f>
        <v>0.24212184437769224</v>
      </c>
      <c r="L21" s="27">
        <f>ResultsComparison[[#This Row],[SECP criterion 2 (V)]]/ResultsComparison[[#This Row],[Excel criterion 2 (V)]]*100-100</f>
        <v>0.24214925326009507</v>
      </c>
      <c r="M21" s="36">
        <f>ResultsComparison[[#This Row],[Excel criterion 2 (V)]]/ResultsComparison[[#This Row],[SECP criterion 2 (V)]]</f>
        <v>0.99758435692905689</v>
      </c>
      <c r="N21" s="35">
        <f>'33 - 4'!C13/ResultsComparison[[#This Row],[Excel / SECP (%)]] - ('33 - 4'!C6 + '33 - 4'!C9)</f>
        <v>0.89700172413793311</v>
      </c>
      <c r="O21" s="36">
        <f>(ResultsComparison[[#This Row],[RL SECP (Ohm)]]/('33 - 4'!C13-'33 - 4'!C9-'33 - 4'!C6)-1)</f>
        <v>5.3678439734211825E-2</v>
      </c>
    </row>
    <row r="22" spans="1:15" ht="24" customHeight="1" x14ac:dyDescent="0.25">
      <c r="A22" s="25" t="s">
        <v>86</v>
      </c>
      <c r="B22" s="26" t="s">
        <v>76</v>
      </c>
      <c r="C22" s="27">
        <f>'33 - 5'!C27</f>
        <v>85.060826208710381</v>
      </c>
      <c r="D22" s="27">
        <f>'33 - 5'!C28</f>
        <v>70.884021840591984</v>
      </c>
      <c r="E22" s="27">
        <f>'33 - 5'!C14</f>
        <v>240</v>
      </c>
      <c r="F22" s="28" t="str">
        <f t="shared" si="1"/>
        <v>pass</v>
      </c>
      <c r="G22" s="27">
        <v>109.0184</v>
      </c>
      <c r="H22" s="27">
        <v>90.848699999999994</v>
      </c>
      <c r="I22" s="27">
        <v>240</v>
      </c>
      <c r="J22" s="29" t="str">
        <f t="shared" si="0"/>
        <v>pass</v>
      </c>
      <c r="K22" s="27">
        <f>ResultsComparison[[#This Row],[SECP criterion 1 (V)]]/ResultsComparison[[#This Row],[Excel criterion 1 (V)]]*100-100</f>
        <v>28.165225826170399</v>
      </c>
      <c r="L22" s="27">
        <f>ResultsComparison[[#This Row],[SECP criterion 2 (V)]]/ResultsComparison[[#This Row],[Excel criterion 2 (V)]]*100-100</f>
        <v>28.165272851342593</v>
      </c>
      <c r="M22" s="36">
        <f>ResultsComparison[[#This Row],[Excel criterion 2 (V)]]/ResultsComparison[[#This Row],[SECP criterion 2 (V)]]</f>
        <v>0.78024255537604814</v>
      </c>
      <c r="N22" s="35">
        <f>N23</f>
        <v>0.72089880952380936</v>
      </c>
      <c r="O22" s="36">
        <f>O23</f>
        <v>5.8520168335393086E-2</v>
      </c>
    </row>
    <row r="23" spans="1:15" ht="24" customHeight="1" x14ac:dyDescent="0.25">
      <c r="A23" s="30" t="s">
        <v>86</v>
      </c>
      <c r="B23" s="31" t="s">
        <v>77</v>
      </c>
      <c r="C23" s="32">
        <f>'33 - 5'!C38</f>
        <v>45.377539200000001</v>
      </c>
      <c r="D23" s="32">
        <f>'33 - 5'!C39</f>
        <v>90.755078400000002</v>
      </c>
      <c r="E23" s="32">
        <f>'33 - 5'!C14</f>
        <v>240</v>
      </c>
      <c r="F23" s="33" t="str">
        <f t="shared" si="1"/>
        <v>pass</v>
      </c>
      <c r="G23" s="27">
        <v>46.0471</v>
      </c>
      <c r="H23" s="27">
        <v>92.094200000000001</v>
      </c>
      <c r="I23" s="27">
        <v>240</v>
      </c>
      <c r="J23" s="34" t="str">
        <f t="shared" si="0"/>
        <v>pass</v>
      </c>
      <c r="K23" s="27">
        <f>ResultsComparison[[#This Row],[SECP criterion 1 (V)]]/ResultsComparison[[#This Row],[Excel criterion 1 (V)]]*100-100</f>
        <v>1.4755335168108843</v>
      </c>
      <c r="L23" s="27">
        <f>ResultsComparison[[#This Row],[SECP criterion 2 (V)]]/ResultsComparison[[#This Row],[Excel criterion 2 (V)]]*100-100</f>
        <v>1.4755335168108843</v>
      </c>
      <c r="M23" s="36">
        <f>ResultsComparison[[#This Row],[Excel criterion 2 (V)]]/ResultsComparison[[#This Row],[SECP criterion 2 (V)]]</f>
        <v>0.9854592189301824</v>
      </c>
      <c r="N23" s="35">
        <f>'33 - 5'!C13/ResultsComparison[[#This Row],[Excel / SECP (%)]] - ('33 - 5'!C6 + '33 - 5'!C9)</f>
        <v>0.72089880952380936</v>
      </c>
      <c r="O23" s="36">
        <f>(ResultsComparison[[#This Row],[RL SECP (Ohm)]]/('33 - 5'!C13-'33 - 5'!C9-'33 - 5'!C6)-1)</f>
        <v>5.8520168335393086E-2</v>
      </c>
    </row>
    <row r="24" spans="1:15" x14ac:dyDescent="0.25">
      <c r="A24" s="1"/>
      <c r="B24" s="1"/>
      <c r="C24" s="1"/>
      <c r="D24" s="1"/>
      <c r="E24" s="1"/>
      <c r="F24" s="1"/>
    </row>
    <row r="25" spans="1:15" x14ac:dyDescent="0.25">
      <c r="A25" s="1"/>
      <c r="B25" s="1"/>
      <c r="C25" s="1"/>
      <c r="D25" s="1"/>
      <c r="E25" s="1"/>
      <c r="F25" s="1"/>
    </row>
    <row r="26" spans="1:15" x14ac:dyDescent="0.25">
      <c r="A26" s="1"/>
      <c r="B26" s="1"/>
      <c r="C26" s="1"/>
      <c r="D26" s="1"/>
      <c r="E26" s="1"/>
      <c r="F26" s="1"/>
    </row>
    <row r="27" spans="1:15" x14ac:dyDescent="0.25">
      <c r="A27" s="1"/>
      <c r="B27" s="1"/>
      <c r="C27" s="1"/>
      <c r="D27" s="1"/>
      <c r="E27" s="1"/>
      <c r="F27" s="1"/>
    </row>
    <row r="28" spans="1:15" x14ac:dyDescent="0.25">
      <c r="A28" s="1"/>
      <c r="B28" s="1"/>
      <c r="C28" s="1"/>
      <c r="D28" s="1"/>
      <c r="E28" s="1"/>
      <c r="F28" s="1"/>
    </row>
    <row r="29" spans="1:15" x14ac:dyDescent="0.25">
      <c r="A29" s="1"/>
      <c r="B29" s="1"/>
      <c r="C29" s="1"/>
      <c r="D29" s="1"/>
      <c r="E29" s="1"/>
      <c r="F29" s="1"/>
    </row>
    <row r="30" spans="1:15" x14ac:dyDescent="0.25">
      <c r="A30" s="1"/>
      <c r="B30" s="1"/>
      <c r="C30" s="1"/>
      <c r="D30" s="1"/>
      <c r="E30" s="1"/>
      <c r="F30" s="1"/>
    </row>
    <row r="31" spans="1:15" x14ac:dyDescent="0.25">
      <c r="A31" s="1"/>
      <c r="B31" s="1"/>
      <c r="C31" s="1"/>
      <c r="D31" s="1"/>
      <c r="E31" s="1"/>
      <c r="F31" s="1"/>
    </row>
    <row r="32" spans="1:15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</sheetData>
  <mergeCells count="1">
    <mergeCell ref="A1:O1"/>
  </mergeCells>
  <phoneticPr fontId="28" type="noConversion"/>
  <conditionalFormatting sqref="F4:F23">
    <cfRule type="expression" dxfId="3" priority="5">
      <formula>LOWER(TRIM(F4))="pass"</formula>
    </cfRule>
    <cfRule type="expression" dxfId="2" priority="6">
      <formula>LOWER(TRIM(F4))="fail"</formula>
    </cfRule>
  </conditionalFormatting>
  <conditionalFormatting sqref="J4:J23">
    <cfRule type="expression" dxfId="1" priority="1">
      <formula>LOWER(TRIM(J4))="pass"</formula>
    </cfRule>
    <cfRule type="expression" dxfId="0" priority="2">
      <formula>LOWER(TRIM(J4))="fail"</formula>
    </cfRule>
  </conditionalFormatting>
  <dataValidations count="1">
    <dataValidation type="list" allowBlank="1" showInputMessage="1" showErrorMessage="1" promptTitle="SECP status" prompt="Select pass or fail." sqref="J5:J23" xr:uid="{1273321B-3E34-46C8-9537-7A3392F6560E}">
      <formula1>"pass,fail"</formula1>
    </dataValidation>
  </dataValidations>
  <printOptions horizontalCentered="1"/>
  <pageMargins left="0.7" right="0.7" top="0.78740157499999996" bottom="0.78740157499999996" header="0.3" footer="0.3"/>
  <pageSetup paperSize="9" scale="59" orientation="landscape" verticalDpi="0" r:id="rId1"/>
  <ignoredErrors>
    <ignoredError sqref="N5:O5 N7:O7 N9:O9 N11:O11 N13:O13 N15:O15 N17:O17 N19:O19 N21:O21" formula="1"/>
    <ignoredError sqref="M4" calculatedColumn="1"/>
  </ignoredError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3673-522A-4333-80B1-DE70A87BBF49}">
  <dimension ref="A1:H73"/>
  <sheetViews>
    <sheetView view="pageBreakPreview" zoomScale="85" zoomScaleNormal="100" zoomScaleSheetLayoutView="85" workbookViewId="0">
      <selection activeCell="L13" sqref="L13"/>
    </sheetView>
  </sheetViews>
  <sheetFormatPr baseColWidth="10" defaultRowHeight="13.8" x14ac:dyDescent="0.25"/>
  <cols>
    <col min="1" max="1" width="45.7265625" bestFit="1" customWidth="1"/>
    <col min="2" max="2" width="7.81640625" bestFit="1" customWidth="1"/>
    <col min="3" max="3" width="12.26953125" bestFit="1" customWidth="1"/>
    <col min="4" max="4" width="22.08984375" bestFit="1" customWidth="1"/>
    <col min="5" max="5" width="18.453125" bestFit="1" customWidth="1"/>
    <col min="6" max="6" width="14.7265625" bestFit="1" customWidth="1"/>
    <col min="7" max="7" width="6.81640625" bestFit="1" customWidth="1"/>
    <col min="8" max="8" width="6.90625" bestFit="1" customWidth="1"/>
  </cols>
  <sheetData>
    <row r="1" spans="1:8" ht="34.799999999999997" customHeight="1" x14ac:dyDescent="0.25">
      <c r="A1" s="75" t="s">
        <v>113</v>
      </c>
      <c r="B1" s="75"/>
      <c r="C1" s="75"/>
      <c r="D1" s="75"/>
      <c r="E1" s="75"/>
      <c r="F1" s="75"/>
      <c r="G1" s="75"/>
      <c r="H1" s="75"/>
    </row>
    <row r="2" spans="1:8" x14ac:dyDescent="0.25">
      <c r="A2" s="37"/>
      <c r="B2" s="37"/>
      <c r="C2" s="37"/>
      <c r="D2" s="37"/>
      <c r="E2" s="37"/>
      <c r="F2" s="37"/>
      <c r="G2" s="37"/>
      <c r="H2" s="37"/>
    </row>
    <row r="3" spans="1:8" x14ac:dyDescent="0.25">
      <c r="A3" s="72" t="s">
        <v>138</v>
      </c>
      <c r="B3" s="68"/>
      <c r="C3" s="68"/>
      <c r="D3" s="68"/>
      <c r="E3" s="68"/>
      <c r="F3" s="68"/>
      <c r="G3" s="68"/>
      <c r="H3" s="68"/>
    </row>
    <row r="4" spans="1:8" x14ac:dyDescent="0.25">
      <c r="A4" s="38" t="s">
        <v>114</v>
      </c>
      <c r="B4" s="67">
        <f>COUNT(F50:F59)</f>
        <v>10</v>
      </c>
      <c r="C4" s="68"/>
      <c r="D4" s="37"/>
      <c r="E4" s="37"/>
      <c r="F4" s="37"/>
      <c r="G4" s="37"/>
      <c r="H4" s="37"/>
    </row>
    <row r="5" spans="1:8" x14ac:dyDescent="0.25">
      <c r="A5" s="38" t="s">
        <v>115</v>
      </c>
      <c r="B5" s="69">
        <f>MIN(F50:F59)</f>
        <v>2.6803886961542234E-2</v>
      </c>
      <c r="C5" s="68"/>
      <c r="D5" s="37"/>
      <c r="E5" s="37"/>
      <c r="F5" s="37"/>
      <c r="G5" s="37"/>
      <c r="H5" s="37"/>
    </row>
    <row r="6" spans="1:8" x14ac:dyDescent="0.25">
      <c r="A6" s="38" t="s">
        <v>116</v>
      </c>
      <c r="B6" s="69">
        <f>AVERAGE(F50:F59)</f>
        <v>8.7912533406615881E-2</v>
      </c>
      <c r="C6" s="68"/>
      <c r="D6" s="37"/>
      <c r="E6" s="37"/>
      <c r="F6" s="37"/>
      <c r="G6" s="37"/>
      <c r="H6" s="37"/>
    </row>
    <row r="7" spans="1:8" x14ac:dyDescent="0.25">
      <c r="A7" s="38" t="s">
        <v>117</v>
      </c>
      <c r="B7" s="69">
        <f>MAX(F50:F59)</f>
        <v>0.21975744462395186</v>
      </c>
      <c r="C7" s="68"/>
      <c r="D7" s="37"/>
      <c r="E7" s="37"/>
      <c r="F7" s="37"/>
      <c r="G7" s="37"/>
      <c r="H7" s="37"/>
    </row>
    <row r="8" spans="1:8" x14ac:dyDescent="0.25">
      <c r="A8" s="38" t="s">
        <v>118</v>
      </c>
      <c r="B8" s="69" cm="1">
        <f t="array" ref="B8">SUMPRODUCT(--(G50:G59=H50:H59))/COUNTA(G50:G59)</f>
        <v>1</v>
      </c>
      <c r="C8" s="68"/>
      <c r="D8" s="37"/>
      <c r="E8" s="37"/>
      <c r="F8" s="37"/>
      <c r="G8" s="37"/>
      <c r="H8" s="37"/>
    </row>
    <row r="9" spans="1:8" x14ac:dyDescent="0.25">
      <c r="A9" s="38" t="s">
        <v>119</v>
      </c>
      <c r="B9" s="67" t="s">
        <v>120</v>
      </c>
      <c r="C9" s="68"/>
      <c r="D9" s="37"/>
      <c r="E9" s="37"/>
      <c r="F9" s="37"/>
      <c r="G9" s="37"/>
      <c r="H9" s="37"/>
    </row>
    <row r="10" spans="1:8" x14ac:dyDescent="0.25">
      <c r="A10" s="37"/>
      <c r="B10" s="37"/>
      <c r="C10" s="37"/>
      <c r="D10" s="37"/>
      <c r="E10" s="37"/>
      <c r="F10" s="37"/>
      <c r="G10" s="37"/>
      <c r="H10" s="37"/>
    </row>
    <row r="11" spans="1:8" x14ac:dyDescent="0.25">
      <c r="A11" s="72" t="s">
        <v>139</v>
      </c>
      <c r="B11" s="68"/>
      <c r="C11" s="68"/>
      <c r="D11" s="68"/>
      <c r="E11" s="68"/>
      <c r="F11" s="68"/>
      <c r="G11" s="68"/>
      <c r="H11" s="68"/>
    </row>
    <row r="12" spans="1:8" ht="15.6" customHeight="1" x14ac:dyDescent="0.25">
      <c r="A12" s="39" t="s">
        <v>121</v>
      </c>
      <c r="B12" s="39" t="s">
        <v>122</v>
      </c>
      <c r="C12" s="39" t="s">
        <v>123</v>
      </c>
      <c r="D12" s="39" t="s">
        <v>124</v>
      </c>
      <c r="E12" s="39" t="s">
        <v>125</v>
      </c>
      <c r="F12" s="39" t="s">
        <v>126</v>
      </c>
      <c r="G12" s="39" t="s">
        <v>127</v>
      </c>
      <c r="H12" s="39" t="s">
        <v>103</v>
      </c>
    </row>
    <row r="13" spans="1:8" x14ac:dyDescent="0.25">
      <c r="A13" s="40" t="s">
        <v>104</v>
      </c>
      <c r="B13" s="41">
        <v>0.2</v>
      </c>
      <c r="C13" s="42">
        <v>3</v>
      </c>
      <c r="D13" s="43">
        <f>IF(ISNUMBER(C13),B13*C13/4,0)</f>
        <v>0.15000000000000002</v>
      </c>
      <c r="E13" s="40"/>
      <c r="F13" s="40"/>
      <c r="G13" s="40"/>
      <c r="H13" s="40"/>
    </row>
    <row r="14" spans="1:8" x14ac:dyDescent="0.25">
      <c r="A14" s="40" t="s">
        <v>105</v>
      </c>
      <c r="B14" s="41">
        <v>0.2</v>
      </c>
      <c r="C14" s="44">
        <v>4</v>
      </c>
      <c r="D14" s="43">
        <f>IF(ISNUMBER(C14),B14*C14/4,0)</f>
        <v>0.2</v>
      </c>
      <c r="E14" s="40"/>
      <c r="F14" s="40"/>
      <c r="G14" s="40"/>
      <c r="H14" s="40"/>
    </row>
    <row r="15" spans="1:8" x14ac:dyDescent="0.25">
      <c r="A15" s="40" t="s">
        <v>106</v>
      </c>
      <c r="B15" s="41">
        <v>0.2</v>
      </c>
      <c r="C15" s="44">
        <v>2</v>
      </c>
      <c r="D15" s="43">
        <f>IF(ISNUMBER(C15),B15*C15/4,0)</f>
        <v>0.1</v>
      </c>
      <c r="E15" s="40"/>
      <c r="F15" s="40"/>
      <c r="G15" s="40"/>
      <c r="H15" s="40"/>
    </row>
    <row r="16" spans="1:8" x14ac:dyDescent="0.25">
      <c r="A16" s="40" t="s">
        <v>107</v>
      </c>
      <c r="B16" s="41">
        <v>0.15</v>
      </c>
      <c r="C16" s="44">
        <v>1</v>
      </c>
      <c r="D16" s="43">
        <f t="shared" ref="D16:D18" si="0">IF(ISNUMBER(C16),B16*C16/4,0)</f>
        <v>3.7499999999999999E-2</v>
      </c>
      <c r="E16" s="40"/>
      <c r="F16" s="40"/>
      <c r="G16" s="40"/>
      <c r="H16" s="40"/>
    </row>
    <row r="17" spans="1:8" x14ac:dyDescent="0.25">
      <c r="A17" s="40" t="s">
        <v>108</v>
      </c>
      <c r="B17" s="41">
        <v>0.1</v>
      </c>
      <c r="C17" s="44">
        <v>3</v>
      </c>
      <c r="D17" s="43">
        <f t="shared" si="0"/>
        <v>7.5000000000000011E-2</v>
      </c>
      <c r="E17" s="40"/>
      <c r="F17" s="40"/>
      <c r="G17" s="40"/>
      <c r="H17" s="40"/>
    </row>
    <row r="18" spans="1:8" x14ac:dyDescent="0.25">
      <c r="A18" s="40" t="s">
        <v>109</v>
      </c>
      <c r="B18" s="41">
        <v>0.1</v>
      </c>
      <c r="C18" s="44">
        <v>4</v>
      </c>
      <c r="D18" s="43">
        <f t="shared" si="0"/>
        <v>0.1</v>
      </c>
      <c r="E18" s="40"/>
      <c r="F18" s="40"/>
      <c r="G18" s="40"/>
      <c r="H18" s="40"/>
    </row>
    <row r="19" spans="1:8" x14ac:dyDescent="0.25">
      <c r="A19" s="40" t="s">
        <v>110</v>
      </c>
      <c r="B19" s="41">
        <v>0.05</v>
      </c>
      <c r="C19" s="44">
        <v>4</v>
      </c>
      <c r="D19" s="43">
        <f>IF(ISNUMBER(C19),B19*C19/4,0)</f>
        <v>0.05</v>
      </c>
      <c r="E19" s="40"/>
      <c r="F19" s="40"/>
      <c r="G19" s="40"/>
      <c r="H19" s="40"/>
    </row>
    <row r="20" spans="1:8" x14ac:dyDescent="0.25">
      <c r="A20" s="37" t="s">
        <v>128</v>
      </c>
      <c r="B20" s="45">
        <f>SUMIF(C13:C19,"&gt;=0",B13:B19)</f>
        <v>1</v>
      </c>
      <c r="C20" s="37"/>
      <c r="D20" s="37"/>
      <c r="E20" s="37"/>
      <c r="F20" s="37"/>
      <c r="G20" s="37"/>
      <c r="H20" s="37"/>
    </row>
    <row r="21" spans="1:8" ht="16.2" x14ac:dyDescent="0.25">
      <c r="A21" s="37" t="s">
        <v>129</v>
      </c>
      <c r="B21" s="46">
        <f>SUM(D13:D19)/B20</f>
        <v>0.71250000000000002</v>
      </c>
      <c r="C21" s="73"/>
      <c r="D21" s="68"/>
      <c r="E21" s="68"/>
      <c r="F21" s="68"/>
      <c r="G21" s="68"/>
      <c r="H21" s="68"/>
    </row>
    <row r="24" spans="1:8" ht="28.2" customHeight="1" x14ac:dyDescent="0.25">
      <c r="A24" s="74" t="s">
        <v>130</v>
      </c>
      <c r="B24" s="71"/>
      <c r="C24" s="71"/>
      <c r="D24" s="71"/>
      <c r="E24" s="71"/>
      <c r="F24" s="71"/>
      <c r="G24" s="71"/>
      <c r="H24" s="71"/>
    </row>
    <row r="25" spans="1:8" x14ac:dyDescent="0.25">
      <c r="A25" s="48"/>
      <c r="B25" s="48"/>
      <c r="C25" s="48"/>
      <c r="D25" s="48"/>
      <c r="E25" s="48"/>
      <c r="F25" s="48"/>
      <c r="G25" s="48"/>
      <c r="H25" s="48"/>
    </row>
    <row r="26" spans="1:8" x14ac:dyDescent="0.25">
      <c r="A26" s="64" t="s">
        <v>140</v>
      </c>
      <c r="B26" s="65"/>
      <c r="C26" s="65"/>
      <c r="D26" s="65"/>
      <c r="E26" s="65"/>
      <c r="F26" s="65"/>
      <c r="G26" s="65"/>
      <c r="H26" s="65"/>
    </row>
    <row r="27" spans="1:8" x14ac:dyDescent="0.25">
      <c r="A27" s="49" t="s">
        <v>131</v>
      </c>
      <c r="B27" s="67">
        <f>COUNT(F64:F73)</f>
        <v>10</v>
      </c>
      <c r="C27" s="68"/>
      <c r="D27" s="47"/>
      <c r="E27" s="48"/>
      <c r="F27" s="48"/>
      <c r="G27" s="48"/>
      <c r="H27" s="48"/>
    </row>
    <row r="28" spans="1:8" x14ac:dyDescent="0.25">
      <c r="A28" s="49" t="s">
        <v>115</v>
      </c>
      <c r="B28" s="69">
        <f>MIN(F64:F73)</f>
        <v>9.5124309297123233E-4</v>
      </c>
      <c r="C28" s="68"/>
      <c r="D28" s="47"/>
      <c r="E28" s="48"/>
      <c r="F28" s="48"/>
      <c r="G28" s="48"/>
      <c r="H28" s="48"/>
    </row>
    <row r="29" spans="1:8" x14ac:dyDescent="0.25">
      <c r="A29" s="49" t="s">
        <v>116</v>
      </c>
      <c r="B29" s="69">
        <f>AVERAGE(F64:F73)</f>
        <v>4.8952102089831031E-3</v>
      </c>
      <c r="C29" s="68"/>
      <c r="D29" s="47"/>
      <c r="E29" s="48"/>
      <c r="F29" s="48"/>
      <c r="G29" s="48"/>
      <c r="H29" s="48"/>
    </row>
    <row r="30" spans="1:8" x14ac:dyDescent="0.25">
      <c r="A30" s="49" t="s">
        <v>117</v>
      </c>
      <c r="B30" s="69">
        <f>MAX(F64:F73)</f>
        <v>1.4540781069817599E-2</v>
      </c>
      <c r="C30" s="68"/>
      <c r="D30" s="47"/>
      <c r="E30" s="48"/>
      <c r="F30" s="48"/>
      <c r="G30" s="48"/>
      <c r="H30" s="48"/>
    </row>
    <row r="31" spans="1:8" x14ac:dyDescent="0.25">
      <c r="A31" s="49" t="s">
        <v>118</v>
      </c>
      <c r="B31" s="69" cm="1">
        <f t="array" ref="B31">SUMPRODUCT(--(G64:G73=H64:H73))/COUNTA(G64:G73)</f>
        <v>1</v>
      </c>
      <c r="C31" s="68"/>
      <c r="D31" s="47"/>
      <c r="E31" s="48"/>
      <c r="F31" s="48"/>
      <c r="G31" s="48"/>
      <c r="H31" s="48"/>
    </row>
    <row r="32" spans="1:8" x14ac:dyDescent="0.25">
      <c r="A32" s="49" t="s">
        <v>119</v>
      </c>
      <c r="B32" s="70" t="s">
        <v>120</v>
      </c>
      <c r="C32" s="71"/>
      <c r="D32" s="63"/>
      <c r="E32" s="63"/>
      <c r="F32" s="48"/>
      <c r="G32" s="48"/>
      <c r="H32" s="48"/>
    </row>
    <row r="33" spans="1:8" x14ac:dyDescent="0.25">
      <c r="A33" s="48"/>
      <c r="B33" s="48"/>
      <c r="C33" s="48"/>
      <c r="D33" s="48"/>
      <c r="E33" s="48"/>
      <c r="F33" s="48"/>
      <c r="G33" s="48"/>
      <c r="H33" s="48"/>
    </row>
    <row r="34" spans="1:8" x14ac:dyDescent="0.25">
      <c r="A34" s="64" t="s">
        <v>139</v>
      </c>
      <c r="B34" s="65"/>
      <c r="C34" s="65"/>
      <c r="D34" s="65"/>
      <c r="E34" s="65"/>
      <c r="F34" s="65"/>
      <c r="G34" s="65"/>
      <c r="H34" s="65"/>
    </row>
    <row r="35" spans="1:8" ht="16.8" customHeight="1" x14ac:dyDescent="0.25">
      <c r="A35" s="50" t="s">
        <v>121</v>
      </c>
      <c r="B35" s="50" t="s">
        <v>122</v>
      </c>
      <c r="C35" s="50" t="s">
        <v>123</v>
      </c>
      <c r="D35" s="50" t="s">
        <v>124</v>
      </c>
      <c r="E35" s="50" t="s">
        <v>125</v>
      </c>
      <c r="F35" s="50" t="s">
        <v>126</v>
      </c>
      <c r="G35" s="50" t="s">
        <v>127</v>
      </c>
      <c r="H35" s="50" t="s">
        <v>103</v>
      </c>
    </row>
    <row r="36" spans="1:8" x14ac:dyDescent="0.25">
      <c r="A36" s="51" t="s">
        <v>104</v>
      </c>
      <c r="B36" s="52">
        <v>0.2</v>
      </c>
      <c r="C36" s="53">
        <v>4</v>
      </c>
      <c r="D36" s="54">
        <f>IF(ISNUMBER(C36),B36*C36/4,0)</f>
        <v>0.2</v>
      </c>
      <c r="E36" s="51"/>
      <c r="F36" s="51"/>
      <c r="G36" s="51"/>
      <c r="H36" s="51"/>
    </row>
    <row r="37" spans="1:8" x14ac:dyDescent="0.25">
      <c r="A37" s="51" t="s">
        <v>105</v>
      </c>
      <c r="B37" s="52">
        <v>0.2</v>
      </c>
      <c r="C37" s="55">
        <v>4</v>
      </c>
      <c r="D37" s="54">
        <f>IF(ISNUMBER(C37),B37*C37/4,0)</f>
        <v>0.2</v>
      </c>
      <c r="E37" s="51"/>
      <c r="F37" s="51"/>
      <c r="G37" s="51"/>
      <c r="H37" s="51"/>
    </row>
    <row r="38" spans="1:8" x14ac:dyDescent="0.25">
      <c r="A38" s="51" t="s">
        <v>106</v>
      </c>
      <c r="B38" s="52">
        <v>0.2</v>
      </c>
      <c r="C38" s="55">
        <v>3</v>
      </c>
      <c r="D38" s="54">
        <f>IF(ISNUMBER(C38),B38*C38/4,0)</f>
        <v>0.15000000000000002</v>
      </c>
      <c r="E38" s="51"/>
      <c r="F38" s="51"/>
      <c r="G38" s="51"/>
      <c r="H38" s="51"/>
    </row>
    <row r="39" spans="1:8" x14ac:dyDescent="0.25">
      <c r="A39" s="51" t="s">
        <v>107</v>
      </c>
      <c r="B39" s="52">
        <v>0.15</v>
      </c>
      <c r="C39" s="55">
        <v>1</v>
      </c>
      <c r="D39" s="54">
        <f>IF(ISNUMBER(C39),B39*C39/4,0)</f>
        <v>3.7499999999999999E-2</v>
      </c>
      <c r="E39" s="51"/>
      <c r="F39" s="51"/>
      <c r="G39" s="51"/>
      <c r="H39" s="51"/>
    </row>
    <row r="40" spans="1:8" x14ac:dyDescent="0.25">
      <c r="A40" s="51" t="s">
        <v>108</v>
      </c>
      <c r="B40" s="52">
        <v>0.1</v>
      </c>
      <c r="C40" s="55">
        <v>3</v>
      </c>
      <c r="D40" s="54">
        <f t="shared" ref="D40:D41" si="1">IF(ISNUMBER(C40),B40*C40/4,0)</f>
        <v>7.5000000000000011E-2</v>
      </c>
      <c r="E40" s="51"/>
      <c r="F40" s="51"/>
      <c r="G40" s="51"/>
      <c r="H40" s="51"/>
    </row>
    <row r="41" spans="1:8" x14ac:dyDescent="0.25">
      <c r="A41" s="51" t="s">
        <v>109</v>
      </c>
      <c r="B41" s="52">
        <v>0.1</v>
      </c>
      <c r="C41" s="55">
        <v>4</v>
      </c>
      <c r="D41" s="54">
        <f t="shared" si="1"/>
        <v>0.1</v>
      </c>
      <c r="E41" s="51"/>
      <c r="F41" s="51"/>
      <c r="G41" s="51"/>
      <c r="H41" s="51"/>
    </row>
    <row r="42" spans="1:8" x14ac:dyDescent="0.25">
      <c r="A42" s="51" t="s">
        <v>110</v>
      </c>
      <c r="B42" s="52">
        <v>0.05</v>
      </c>
      <c r="C42" s="56">
        <v>4</v>
      </c>
      <c r="D42" s="54">
        <f>IF(ISNUMBER(C42),B42*C42/4,0)</f>
        <v>0.05</v>
      </c>
      <c r="E42" s="51"/>
      <c r="F42" s="51"/>
      <c r="G42" s="51"/>
      <c r="H42" s="51"/>
    </row>
    <row r="43" spans="1:8" x14ac:dyDescent="0.25">
      <c r="A43" s="48" t="s">
        <v>128</v>
      </c>
      <c r="B43" s="57">
        <f>SUMIF(C36:C42,"&gt;=0",B36:B42)</f>
        <v>1</v>
      </c>
      <c r="C43" s="48"/>
      <c r="D43" s="48"/>
      <c r="E43" s="48"/>
      <c r="F43" s="48"/>
      <c r="G43" s="48"/>
      <c r="H43" s="48"/>
    </row>
    <row r="44" spans="1:8" ht="16.2" x14ac:dyDescent="0.25">
      <c r="A44" s="48" t="s">
        <v>129</v>
      </c>
      <c r="B44" s="58">
        <f>SUM(D36:D42)/B43</f>
        <v>0.81250000000000011</v>
      </c>
      <c r="C44" s="66"/>
      <c r="D44" s="65"/>
      <c r="E44" s="65"/>
      <c r="F44" s="65"/>
      <c r="G44" s="65"/>
      <c r="H44" s="65"/>
    </row>
    <row r="45" spans="1:8" hidden="1" x14ac:dyDescent="0.25"/>
    <row r="46" spans="1:8" hidden="1" x14ac:dyDescent="0.25"/>
    <row r="47" spans="1:8" hidden="1" x14ac:dyDescent="0.25"/>
    <row r="48" spans="1:8" hidden="1" x14ac:dyDescent="0.25">
      <c r="A48" s="64" t="s">
        <v>141</v>
      </c>
      <c r="B48" s="65"/>
      <c r="C48" s="65"/>
      <c r="D48" s="65"/>
      <c r="E48" s="65"/>
      <c r="F48" s="65"/>
      <c r="G48" s="65"/>
      <c r="H48" s="65"/>
    </row>
    <row r="49" spans="1:8" ht="41.4" hidden="1" x14ac:dyDescent="0.25">
      <c r="A49" s="50" t="s">
        <v>132</v>
      </c>
      <c r="B49" s="50" t="s">
        <v>133</v>
      </c>
      <c r="C49" s="50" t="s">
        <v>134</v>
      </c>
      <c r="D49" s="50" t="s">
        <v>135</v>
      </c>
      <c r="E49" s="50" t="s">
        <v>136</v>
      </c>
      <c r="F49" s="50" t="s">
        <v>137</v>
      </c>
      <c r="G49" s="50" t="s">
        <v>111</v>
      </c>
      <c r="H49" s="50" t="s">
        <v>112</v>
      </c>
    </row>
    <row r="50" spans="1:8" hidden="1" x14ac:dyDescent="0.25">
      <c r="A50" s="51" t="s">
        <v>75</v>
      </c>
      <c r="B50" s="61">
        <f>VLOOKUP($A50,[1]Results!$A$14:$J$23,3,FALSE)</f>
        <v>172.72266401203899</v>
      </c>
      <c r="C50" s="61">
        <f>VLOOKUP($A50,[1]Results!$A$14:$J$23,4,FALSE)</f>
        <v>50.064540293344649</v>
      </c>
      <c r="D50" s="61">
        <f>VLOOKUP($A50,[1]Results!$A$14:$J$23,7,FALSE)</f>
        <v>195.68709999999999</v>
      </c>
      <c r="E50" s="61">
        <f>VLOOKUP($A50,[1]Results!$A$14:$J$23,8,FALSE)</f>
        <v>56.7209</v>
      </c>
      <c r="F50" s="62">
        <f>1-VLOOKUP($A50,[1]Results!$A$14:$M$23,13,FALSE)</f>
        <v>0.11735285770598403</v>
      </c>
      <c r="G50" s="61" t="str">
        <f>VLOOKUP($A50,[1]Results!$A$14:$J$23,6,FALSE)</f>
        <v>pass</v>
      </c>
      <c r="H50" s="61" t="str">
        <f>VLOOKUP($A50,[1]Results!$A$14:$J$23,10,FALSE)</f>
        <v>pass</v>
      </c>
    </row>
    <row r="51" spans="1:8" hidden="1" x14ac:dyDescent="0.25">
      <c r="A51" s="51" t="s">
        <v>78</v>
      </c>
      <c r="B51" s="61">
        <f>VLOOKUP($A51,[1]Results!$A$14:$J$23,3,FALSE)</f>
        <v>220.83624211744689</v>
      </c>
      <c r="C51" s="61">
        <f>VLOOKUP($A51,[1]Results!$A$14:$J$23,4,FALSE)</f>
        <v>81.791200784239578</v>
      </c>
      <c r="D51" s="61">
        <f>VLOOKUP($A51,[1]Results!$A$14:$J$23,7,FALSE)</f>
        <v>242.76939999999999</v>
      </c>
      <c r="E51" s="61">
        <f>VLOOKUP($A51,[1]Results!$A$14:$J$23,8,FALSE)</f>
        <v>89.914599999999993</v>
      </c>
      <c r="F51" s="62">
        <f>1-VLOOKUP($A51,[1]Results!$A$14:$M$23,13,FALSE)</f>
        <v>9.0345719335462982E-2</v>
      </c>
      <c r="G51" s="61" t="str">
        <f>VLOOKUP($A51,[1]Results!$A$14:$J$23,6,FALSE)</f>
        <v>pass</v>
      </c>
      <c r="H51" s="61" t="str">
        <f>VLOOKUP($A51,[1]Results!$A$14:$J$23,10,FALSE)</f>
        <v>pass</v>
      </c>
    </row>
    <row r="52" spans="1:8" hidden="1" x14ac:dyDescent="0.25">
      <c r="A52" s="51" t="s">
        <v>79</v>
      </c>
      <c r="B52" s="61">
        <f>VLOOKUP($A52,[1]Results!$A$14:$J$23,3,FALSE)</f>
        <v>231.52186673603302</v>
      </c>
      <c r="C52" s="61">
        <f>VLOOKUP($A52,[1]Results!$A$14:$J$23,4,FALSE)</f>
        <v>308.69582231471065</v>
      </c>
      <c r="D52" s="61">
        <f>VLOOKUP($A52,[1]Results!$A$14:$J$23,7,FALSE)</f>
        <v>254.5163</v>
      </c>
      <c r="E52" s="61">
        <f>VLOOKUP($A52,[1]Results!$A$14:$J$23,8,FALSE)</f>
        <v>339.35509999999999</v>
      </c>
      <c r="F52" s="62">
        <f>1-VLOOKUP($A52,[1]Results!$A$14:$M$23,13,FALSE)</f>
        <v>9.0345710688565894E-2</v>
      </c>
      <c r="G52" s="61" t="str">
        <f>VLOOKUP($A52,[1]Results!$A$14:$J$23,6,FALSE)</f>
        <v>pass</v>
      </c>
      <c r="H52" s="61" t="str">
        <f>VLOOKUP($A52,[1]Results!$A$14:$J$23,10,FALSE)</f>
        <v>pass</v>
      </c>
    </row>
    <row r="53" spans="1:8" hidden="1" x14ac:dyDescent="0.25">
      <c r="A53" s="51" t="s">
        <v>80</v>
      </c>
      <c r="B53" s="61">
        <f>VLOOKUP($A53,[1]Results!$A$14:$J$23,3,FALSE)</f>
        <v>238.20183605300696</v>
      </c>
      <c r="C53" s="61">
        <f>VLOOKUP($A53,[1]Results!$A$14:$J$23,4,FALSE)</f>
        <v>88.222902241854428</v>
      </c>
      <c r="D53" s="61">
        <f>VLOOKUP($A53,[1]Results!$A$14:$J$23,7,FALSE)</f>
        <v>263.5138</v>
      </c>
      <c r="E53" s="61">
        <f>VLOOKUP($A53,[1]Results!$A$14:$J$23,8,FALSE)</f>
        <v>97.597700000000003</v>
      </c>
      <c r="F53" s="62">
        <f>1-VLOOKUP($A53,[1]Results!$A$14:$M$23,13,FALSE)</f>
        <v>9.60555193221313E-2</v>
      </c>
      <c r="G53" s="61" t="str">
        <f>VLOOKUP($A53,[1]Results!$A$14:$J$23,6,FALSE)</f>
        <v>pass</v>
      </c>
      <c r="H53" s="61" t="str">
        <f>VLOOKUP($A53,[1]Results!$A$14:$J$23,10,FALSE)</f>
        <v>pass</v>
      </c>
    </row>
    <row r="54" spans="1:8" hidden="1" x14ac:dyDescent="0.25">
      <c r="A54" s="51" t="s">
        <v>81</v>
      </c>
      <c r="B54" s="61">
        <f>VLOOKUP($A54,[1]Results!$A$14:$J$23,3,FALSE)</f>
        <v>119.29343872136002</v>
      </c>
      <c r="C54" s="61">
        <f>VLOOKUP($A54,[1]Results!$A$14:$J$23,4,FALSE)</f>
        <v>53.019306098382224</v>
      </c>
      <c r="D54" s="61">
        <f>VLOOKUP($A54,[1]Results!$A$14:$J$23,7,FALSE)</f>
        <v>131.19999999999999</v>
      </c>
      <c r="E54" s="61">
        <f>VLOOKUP($A54,[1]Results!$A$14:$J$23,8,FALSE)</f>
        <v>58.311100000000003</v>
      </c>
      <c r="F54" s="62">
        <f>1-VLOOKUP($A54,[1]Results!$A$14:$M$23,13,FALSE)</f>
        <v>9.0751056001649455E-2</v>
      </c>
      <c r="G54" s="61" t="str">
        <f>VLOOKUP($A54,[1]Results!$A$14:$J$23,6,FALSE)</f>
        <v>pass</v>
      </c>
      <c r="H54" s="61" t="str">
        <f>VLOOKUP($A54,[1]Results!$A$14:$J$23,10,FALSE)</f>
        <v>pass</v>
      </c>
    </row>
    <row r="55" spans="1:8" hidden="1" x14ac:dyDescent="0.25">
      <c r="A55" s="51" t="s">
        <v>82</v>
      </c>
      <c r="B55" s="61">
        <f>VLOOKUP($A55,[1]Results!$A$14:$J$23,3,FALSE)</f>
        <v>332.29738459069171</v>
      </c>
      <c r="C55" s="61">
        <f>VLOOKUP($A55,[1]Results!$A$14:$J$23,4,FALSE)</f>
        <v>184.60965810593981</v>
      </c>
      <c r="D55" s="61">
        <f>VLOOKUP($A55,[1]Results!$A$14:$J$23,7,FALSE)</f>
        <v>341.44959999999998</v>
      </c>
      <c r="E55" s="61">
        <f>VLOOKUP($A55,[1]Results!$A$14:$J$23,8,FALSE)</f>
        <v>189.6942</v>
      </c>
      <c r="F55" s="62">
        <f>1-VLOOKUP($A55,[1]Results!$A$14:$M$23,13,FALSE)</f>
        <v>2.6803886961542234E-2</v>
      </c>
      <c r="G55" s="61" t="str">
        <f>VLOOKUP($A55,[1]Results!$A$14:$J$23,6,FALSE)</f>
        <v>pass</v>
      </c>
      <c r="H55" s="61" t="str">
        <f>VLOOKUP($A55,[1]Results!$A$14:$J$23,10,FALSE)</f>
        <v>pass</v>
      </c>
    </row>
    <row r="56" spans="1:8" hidden="1" x14ac:dyDescent="0.25">
      <c r="A56" s="51" t="s">
        <v>83</v>
      </c>
      <c r="B56" s="61">
        <f>VLOOKUP($A56,[1]Results!$A$14:$J$23,3,FALSE)</f>
        <v>648.79216283535402</v>
      </c>
      <c r="C56" s="61">
        <f>VLOOKUP($A56,[1]Results!$A$14:$J$23,4,FALSE)</f>
        <v>360.44009046408559</v>
      </c>
      <c r="D56" s="61">
        <f>VLOOKUP($A56,[1]Results!$A$14:$J$23,7,FALSE)</f>
        <v>688.47969999999998</v>
      </c>
      <c r="E56" s="61">
        <f>VLOOKUP($A56,[1]Results!$A$14:$J$23,8,FALSE)</f>
        <v>382.48869999999999</v>
      </c>
      <c r="F56" s="62">
        <f>1-VLOOKUP($A56,[1]Results!$A$14:$M$23,13,FALSE)</f>
        <v>5.7645126603516395E-2</v>
      </c>
      <c r="G56" s="61" t="str">
        <f>VLOOKUP($A56,[1]Results!$A$14:$J$23,6,FALSE)</f>
        <v>pass</v>
      </c>
      <c r="H56" s="61" t="str">
        <f>VLOOKUP($A56,[1]Results!$A$14:$J$23,10,FALSE)</f>
        <v>pass</v>
      </c>
    </row>
    <row r="57" spans="1:8" hidden="1" x14ac:dyDescent="0.25">
      <c r="A57" s="51" t="s">
        <v>84</v>
      </c>
      <c r="B57" s="61">
        <f>VLOOKUP($A57,[1]Results!$A$14:$J$23,3,FALSE)</f>
        <v>475.27835036412239</v>
      </c>
      <c r="C57" s="61">
        <f>VLOOKUP($A57,[1]Results!$A$14:$J$23,4,FALSE)</f>
        <v>264.04352798006795</v>
      </c>
      <c r="D57" s="61">
        <f>VLOOKUP($A57,[1]Results!$A$14:$J$23,7,FALSE)</f>
        <v>496.36939999999998</v>
      </c>
      <c r="E57" s="61">
        <f>VLOOKUP($A57,[1]Results!$A$14:$J$23,8,FALSE)</f>
        <v>275.76080000000002</v>
      </c>
      <c r="F57" s="62">
        <f>1-VLOOKUP($A57,[1]Results!$A$14:$M$23,13,FALSE)</f>
        <v>4.2490709411678762E-2</v>
      </c>
      <c r="G57" s="61" t="str">
        <f>VLOOKUP($A57,[1]Results!$A$14:$J$23,6,FALSE)</f>
        <v>pass</v>
      </c>
      <c r="H57" s="61" t="str">
        <f>VLOOKUP($A57,[1]Results!$A$14:$J$23,10,FALSE)</f>
        <v>pass</v>
      </c>
    </row>
    <row r="58" spans="1:8" hidden="1" x14ac:dyDescent="0.25">
      <c r="A58" s="51" t="s">
        <v>85</v>
      </c>
      <c r="B58" s="61">
        <f>VLOOKUP($A58,[1]Results!$A$14:$J$23,3,FALSE)</f>
        <v>511.75142980756897</v>
      </c>
      <c r="C58" s="61">
        <f>VLOOKUP($A58,[1]Results!$A$14:$J$23,4,FALSE)</f>
        <v>341.16761987171259</v>
      </c>
      <c r="D58" s="61">
        <f>VLOOKUP($A58,[1]Results!$A$14:$J$23,7,FALSE)</f>
        <v>537.31539999999995</v>
      </c>
      <c r="E58" s="61">
        <f>VLOOKUP($A58,[1]Results!$A$14:$J$23,8,FALSE)</f>
        <v>358.21030000000002</v>
      </c>
      <c r="F58" s="62">
        <f>1-VLOOKUP($A58,[1]Results!$A$14:$M$23,13,FALSE)</f>
        <v>4.7577303411675875E-2</v>
      </c>
      <c r="G58" s="61" t="str">
        <f>VLOOKUP($A58,[1]Results!$A$14:$J$23,6,FALSE)</f>
        <v>pass</v>
      </c>
      <c r="H58" s="61" t="str">
        <f>VLOOKUP($A58,[1]Results!$A$14:$J$23,10,FALSE)</f>
        <v>pass</v>
      </c>
    </row>
    <row r="59" spans="1:8" hidden="1" x14ac:dyDescent="0.25">
      <c r="A59" s="51" t="s">
        <v>86</v>
      </c>
      <c r="B59" s="61">
        <f>VLOOKUP($A59,[1]Results!$A$14:$J$23,3,FALSE)</f>
        <v>85.060826208710381</v>
      </c>
      <c r="C59" s="61">
        <f>VLOOKUP($A59,[1]Results!$A$14:$J$23,4,FALSE)</f>
        <v>70.884021840591984</v>
      </c>
      <c r="D59" s="61">
        <f>VLOOKUP($A59,[1]Results!$A$14:$J$23,7,FALSE)</f>
        <v>109.0184</v>
      </c>
      <c r="E59" s="61">
        <f>VLOOKUP($A59,[1]Results!$A$14:$J$23,8,FALSE)</f>
        <v>90.848699999999994</v>
      </c>
      <c r="F59" s="62">
        <f>1-VLOOKUP($A59,[1]Results!$A$14:$M$23,13,FALSE)</f>
        <v>0.21975744462395186</v>
      </c>
      <c r="G59" s="61" t="str">
        <f>VLOOKUP($A59,[1]Results!$A$14:$J$23,6,FALSE)</f>
        <v>pass</v>
      </c>
      <c r="H59" s="61" t="str">
        <f>VLOOKUP($A59,[1]Results!$A$14:$J$23,10,FALSE)</f>
        <v>pass</v>
      </c>
    </row>
    <row r="60" spans="1:8" hidden="1" x14ac:dyDescent="0.25"/>
    <row r="61" spans="1:8" hidden="1" x14ac:dyDescent="0.25"/>
    <row r="62" spans="1:8" hidden="1" x14ac:dyDescent="0.25">
      <c r="A62" s="64" t="s">
        <v>142</v>
      </c>
      <c r="B62" s="65"/>
      <c r="C62" s="65"/>
      <c r="D62" s="65"/>
      <c r="E62" s="65"/>
      <c r="F62" s="65"/>
      <c r="G62" s="65"/>
      <c r="H62" s="65"/>
    </row>
    <row r="63" spans="1:8" ht="41.4" hidden="1" x14ac:dyDescent="0.25">
      <c r="A63" s="50" t="s">
        <v>132</v>
      </c>
      <c r="B63" s="50" t="s">
        <v>133</v>
      </c>
      <c r="C63" s="50" t="s">
        <v>134</v>
      </c>
      <c r="D63" s="50" t="s">
        <v>135</v>
      </c>
      <c r="E63" s="50" t="s">
        <v>136</v>
      </c>
      <c r="F63" s="50" t="s">
        <v>137</v>
      </c>
      <c r="G63" s="50" t="s">
        <v>111</v>
      </c>
      <c r="H63" s="50" t="s">
        <v>112</v>
      </c>
    </row>
    <row r="64" spans="1:8" hidden="1" x14ac:dyDescent="0.25">
      <c r="A64" s="51" t="s">
        <v>75</v>
      </c>
      <c r="B64" s="59">
        <f>VLOOKUP($A64,[1]Results!$A$4:$J$13,3,FALSE)</f>
        <v>498.60738281250002</v>
      </c>
      <c r="C64" s="59">
        <f>VLOOKUP($A64,[1]Results!$A$4:$J$13,4,FALSE)</f>
        <v>997.21476562500004</v>
      </c>
      <c r="D64" s="59">
        <f>VLOOKUP($A64,[1]Results!$A$4:$J$13,7,FALSE)</f>
        <v>501.82499999999999</v>
      </c>
      <c r="E64" s="59">
        <f>VLOOKUP($A64,[1]Results!$A$4:$J$13,8,FALSE)</f>
        <v>1003.65</v>
      </c>
      <c r="F64" s="60">
        <f>1-VLOOKUP($A64,[1]Results!$A$4:$M$13,13,FALSE)</f>
        <v>6.4118311911521841E-3</v>
      </c>
      <c r="G64" s="59" t="str">
        <f>VLOOKUP($A64,[1]Results!$A$4:$J$13,6,FALSE)</f>
        <v>fail</v>
      </c>
      <c r="H64" s="59" t="str">
        <f>VLOOKUP($A64,[1]Results!$A$4:$J$13,10,FALSE)</f>
        <v>fail</v>
      </c>
    </row>
    <row r="65" spans="1:8" hidden="1" x14ac:dyDescent="0.25">
      <c r="A65" s="51" t="s">
        <v>78</v>
      </c>
      <c r="B65" s="59">
        <f>VLOOKUP($A65,[1]Results!$A$4:$J$13,3,FALSE)</f>
        <v>40.71769845</v>
      </c>
      <c r="C65" s="59">
        <f>VLOOKUP($A65,[1]Results!$A$4:$J$13,4,FALSE)</f>
        <v>616.93482499999993</v>
      </c>
      <c r="D65" s="59">
        <f>VLOOKUP($A65,[1]Results!$A$4:$J$13,7,FALSE)</f>
        <v>40.913699999999999</v>
      </c>
      <c r="E65" s="59">
        <f>VLOOKUP($A65,[1]Results!$A$4:$J$13,8,FALSE)</f>
        <v>619.904</v>
      </c>
      <c r="F65" s="60">
        <f>1-VLOOKUP($A65,[1]Results!$A$4:$M$13,13,FALSE)</f>
        <v>4.7897335716499123E-3</v>
      </c>
      <c r="G65" s="59" t="str">
        <f>VLOOKUP($A65,[1]Results!$A$4:$J$13,6,FALSE)</f>
        <v>fail</v>
      </c>
      <c r="H65" s="59" t="str">
        <f>VLOOKUP($A65,[1]Results!$A$4:$J$13,10,FALSE)</f>
        <v>fail</v>
      </c>
    </row>
    <row r="66" spans="1:8" hidden="1" x14ac:dyDescent="0.25">
      <c r="A66" s="51" t="s">
        <v>79</v>
      </c>
      <c r="B66" s="59">
        <f>VLOOKUP($A66,[1]Results!$A$4:$J$13,3,FALSE)</f>
        <v>178.91109925000001</v>
      </c>
      <c r="C66" s="59">
        <f>VLOOKUP($A66,[1]Results!$A$4:$J$13,4,FALSE)</f>
        <v>493.54786000000001</v>
      </c>
      <c r="D66" s="59">
        <f>VLOOKUP($A66,[1]Results!$A$4:$J$13,7,FALSE)</f>
        <v>179.7722</v>
      </c>
      <c r="E66" s="59">
        <f>VLOOKUP($A66,[1]Results!$A$4:$J$13,8,FALSE)</f>
        <v>495.92320000000001</v>
      </c>
      <c r="F66" s="60">
        <f>1-VLOOKUP($A66,[1]Results!$A$4:$M$13,13,FALSE)</f>
        <v>4.7897335716498013E-3</v>
      </c>
      <c r="G66" s="59" t="str">
        <f>VLOOKUP($A66,[1]Results!$A$4:$J$13,6,FALSE)</f>
        <v>fail</v>
      </c>
      <c r="H66" s="59" t="str">
        <f>VLOOKUP($A66,[1]Results!$A$4:$J$13,10,FALSE)</f>
        <v>fail</v>
      </c>
    </row>
    <row r="67" spans="1:8" hidden="1" x14ac:dyDescent="0.25">
      <c r="A67" s="51" t="s">
        <v>80</v>
      </c>
      <c r="B67" s="59">
        <f>VLOOKUP($A67,[1]Results!$A$4:$J$13,3,FALSE)</f>
        <v>266.17914999999999</v>
      </c>
      <c r="C67" s="59">
        <f>VLOOKUP($A67,[1]Results!$A$4:$J$13,4,FALSE)</f>
        <v>532.35829999999999</v>
      </c>
      <c r="D67" s="59">
        <f>VLOOKUP($A67,[1]Results!$A$4:$J$13,7,FALSE)</f>
        <v>267.55200000000002</v>
      </c>
      <c r="E67" s="59">
        <f>VLOOKUP($A67,[1]Results!$A$4:$J$13,8,FALSE)</f>
        <v>535.10400000000004</v>
      </c>
      <c r="F67" s="60">
        <f>1-VLOOKUP($A67,[1]Results!$A$4:$M$13,13,FALSE)</f>
        <v>5.1311520751107231E-3</v>
      </c>
      <c r="G67" s="59" t="str">
        <f>VLOOKUP($A67,[1]Results!$A$4:$J$13,6,FALSE)</f>
        <v>pass</v>
      </c>
      <c r="H67" s="59" t="str">
        <f>VLOOKUP($A67,[1]Results!$A$4:$J$13,10,FALSE)</f>
        <v>pass</v>
      </c>
    </row>
    <row r="68" spans="1:8" hidden="1" x14ac:dyDescent="0.25">
      <c r="A68" s="51" t="s">
        <v>81</v>
      </c>
      <c r="B68" s="59">
        <f>VLOOKUP($A68,[1]Results!$A$4:$J$13,3,FALSE)</f>
        <v>206.62229687499999</v>
      </c>
      <c r="C68" s="59">
        <f>VLOOKUP($A68,[1]Results!$A$4:$J$13,4,FALSE)</f>
        <v>413.24459374999998</v>
      </c>
      <c r="D68" s="59">
        <f>VLOOKUP($A68,[1]Results!$A$4:$J$13,7,FALSE)</f>
        <v>207.6225</v>
      </c>
      <c r="E68" s="59">
        <f>VLOOKUP($A68,[1]Results!$A$4:$J$13,8,FALSE)</f>
        <v>415.245</v>
      </c>
      <c r="F68" s="60">
        <f>1-VLOOKUP($A68,[1]Results!$A$4:$M$13,13,FALSE)</f>
        <v>4.8174120097774775E-3</v>
      </c>
      <c r="G68" s="59" t="str">
        <f>VLOOKUP($A68,[1]Results!$A$4:$J$13,6,FALSE)</f>
        <v>pass</v>
      </c>
      <c r="H68" s="59" t="str">
        <f>VLOOKUP($A68,[1]Results!$A$4:$J$13,10,FALSE)</f>
        <v>pass</v>
      </c>
    </row>
    <row r="69" spans="1:8" hidden="1" x14ac:dyDescent="0.25">
      <c r="A69" s="51" t="s">
        <v>82</v>
      </c>
      <c r="B69" s="59">
        <f>VLOOKUP($A69,[1]Results!$A$4:$J$13,3,FALSE)</f>
        <v>181.30012529999999</v>
      </c>
      <c r="C69" s="59">
        <f>VLOOKUP($A69,[1]Results!$A$4:$J$13,4,FALSE)</f>
        <v>362.60025059999998</v>
      </c>
      <c r="D69" s="59">
        <f>VLOOKUP($A69,[1]Results!$A$4:$J$13,7,FALSE)</f>
        <v>181.47280000000001</v>
      </c>
      <c r="E69" s="59">
        <f>VLOOKUP($A69,[1]Results!$A$4:$J$13,8,FALSE)</f>
        <v>362.94549999999998</v>
      </c>
      <c r="F69" s="60">
        <f>1-VLOOKUP($A69,[1]Results!$A$4:$M$13,13,FALSE)</f>
        <v>9.5124309297123233E-4</v>
      </c>
      <c r="G69" s="59" t="str">
        <f>VLOOKUP($A69,[1]Results!$A$4:$J$13,6,FALSE)</f>
        <v>pass</v>
      </c>
      <c r="H69" s="59" t="str">
        <f>VLOOKUP($A69,[1]Results!$A$4:$J$13,10,FALSE)</f>
        <v>pass</v>
      </c>
    </row>
    <row r="70" spans="1:8" hidden="1" x14ac:dyDescent="0.25">
      <c r="A70" s="51" t="s">
        <v>83</v>
      </c>
      <c r="B70" s="59">
        <f>VLOOKUP($A70,[1]Results!$A$4:$J$13,3,FALSE)</f>
        <v>282.54059166666661</v>
      </c>
      <c r="C70" s="59">
        <f>VLOOKUP($A70,[1]Results!$A$4:$J$13,4,FALSE)</f>
        <v>565.08118333333323</v>
      </c>
      <c r="D70" s="59">
        <f>VLOOKUP($A70,[1]Results!$A$4:$J$13,7,FALSE)</f>
        <v>283.37869999999998</v>
      </c>
      <c r="E70" s="59">
        <f>VLOOKUP($A70,[1]Results!$A$4:$J$13,8,FALSE)</f>
        <v>566.75729999999999</v>
      </c>
      <c r="F70" s="60">
        <f>1-VLOOKUP($A70,[1]Results!$A$4:$M$13,13,FALSE)</f>
        <v>2.9573799343506346E-3</v>
      </c>
      <c r="G70" s="59" t="str">
        <f>VLOOKUP($A70,[1]Results!$A$4:$J$13,6,FALSE)</f>
        <v>pass</v>
      </c>
      <c r="H70" s="59" t="str">
        <f>VLOOKUP($A70,[1]Results!$A$4:$J$13,10,FALSE)</f>
        <v>pass</v>
      </c>
    </row>
    <row r="71" spans="1:8" hidden="1" x14ac:dyDescent="0.25">
      <c r="A71" s="51" t="s">
        <v>84</v>
      </c>
      <c r="B71" s="59">
        <f>VLOOKUP($A71,[1]Results!$A$4:$J$13,3,FALSE)</f>
        <v>169.42115737500001</v>
      </c>
      <c r="C71" s="59">
        <f>VLOOKUP($A71,[1]Results!$A$4:$J$13,4,FALSE)</f>
        <v>350.52653249999997</v>
      </c>
      <c r="D71" s="59">
        <f>VLOOKUP($A71,[1]Results!$A$4:$J$13,7,FALSE)</f>
        <v>169.78569999999999</v>
      </c>
      <c r="E71" s="59">
        <f>VLOOKUP($A71,[1]Results!$A$4:$J$13,8,FALSE)</f>
        <v>351.2808</v>
      </c>
      <c r="F71" s="60">
        <f>1-VLOOKUP($A71,[1]Results!$A$4:$M$13,13,FALSE)</f>
        <v>2.1471925024083571E-3</v>
      </c>
      <c r="G71" s="59" t="str">
        <f>VLOOKUP($A71,[1]Results!$A$4:$J$13,6,FALSE)</f>
        <v>pass</v>
      </c>
      <c r="H71" s="59" t="str">
        <f>VLOOKUP($A71,[1]Results!$A$4:$J$13,10,FALSE)</f>
        <v>pass</v>
      </c>
    </row>
    <row r="72" spans="1:8" hidden="1" x14ac:dyDescent="0.25">
      <c r="A72" s="51" t="s">
        <v>85</v>
      </c>
      <c r="B72" s="59">
        <f>VLOOKUP($A72,[1]Results!$A$4:$J$13,3,FALSE)</f>
        <v>182.42261499999998</v>
      </c>
      <c r="C72" s="59">
        <f>VLOOKUP($A72,[1]Results!$A$4:$J$13,4,FALSE)</f>
        <v>364.84522999999996</v>
      </c>
      <c r="D72" s="59">
        <f>VLOOKUP($A72,[1]Results!$A$4:$J$13,7,FALSE)</f>
        <v>182.86429999999999</v>
      </c>
      <c r="E72" s="59">
        <f>VLOOKUP($A72,[1]Results!$A$4:$J$13,8,FALSE)</f>
        <v>365.7287</v>
      </c>
      <c r="F72" s="60">
        <f>1-VLOOKUP($A72,[1]Results!$A$4:$M$13,13,FALSE)</f>
        <v>2.4156430709431076E-3</v>
      </c>
      <c r="G72" s="59" t="str">
        <f>VLOOKUP($A72,[1]Results!$A$4:$J$13,6,FALSE)</f>
        <v>pass</v>
      </c>
      <c r="H72" s="59" t="str">
        <f>VLOOKUP($A72,[1]Results!$A$4:$J$13,10,FALSE)</f>
        <v>pass</v>
      </c>
    </row>
    <row r="73" spans="1:8" hidden="1" x14ac:dyDescent="0.25">
      <c r="A73" s="51" t="s">
        <v>86</v>
      </c>
      <c r="B73" s="59">
        <f>VLOOKUP($A73,[1]Results!$A$4:$J$13,3,FALSE)</f>
        <v>45.377539200000001</v>
      </c>
      <c r="C73" s="59">
        <f>VLOOKUP($A73,[1]Results!$A$4:$J$13,4,FALSE)</f>
        <v>90.755078400000002</v>
      </c>
      <c r="D73" s="59">
        <f>VLOOKUP($A73,[1]Results!$A$4:$J$13,7,FALSE)</f>
        <v>46.0471</v>
      </c>
      <c r="E73" s="59">
        <f>VLOOKUP($A73,[1]Results!$A$4:$J$13,8,FALSE)</f>
        <v>92.094200000000001</v>
      </c>
      <c r="F73" s="60">
        <f>1-VLOOKUP($A73,[1]Results!$A$4:$M$13,13,FALSE)</f>
        <v>1.4540781069817599E-2</v>
      </c>
      <c r="G73" s="59" t="str">
        <f>VLOOKUP($A73,[1]Results!$A$4:$J$13,6,FALSE)</f>
        <v>pass</v>
      </c>
      <c r="H73" s="59" t="str">
        <f>VLOOKUP($A73,[1]Results!$A$4:$J$13,10,FALSE)</f>
        <v>pass</v>
      </c>
    </row>
  </sheetData>
  <mergeCells count="23">
    <mergeCell ref="A26:H26"/>
    <mergeCell ref="A1:H1"/>
    <mergeCell ref="A3:H3"/>
    <mergeCell ref="B4:C4"/>
    <mergeCell ref="B5:C5"/>
    <mergeCell ref="B6:C6"/>
    <mergeCell ref="B7:C7"/>
    <mergeCell ref="B8:C8"/>
    <mergeCell ref="B9:C9"/>
    <mergeCell ref="A11:H11"/>
    <mergeCell ref="C21:H21"/>
    <mergeCell ref="A24:H24"/>
    <mergeCell ref="B27:C27"/>
    <mergeCell ref="B28:C28"/>
    <mergeCell ref="B29:C29"/>
    <mergeCell ref="B30:C30"/>
    <mergeCell ref="B31:C31"/>
    <mergeCell ref="D32:E32"/>
    <mergeCell ref="A34:H34"/>
    <mergeCell ref="C44:H44"/>
    <mergeCell ref="A62:H62"/>
    <mergeCell ref="A48:H48"/>
    <mergeCell ref="B32:C32"/>
  </mergeCells>
  <conditionalFormatting sqref="B21">
    <cfRule type="colorScale" priority="6">
      <colorScale>
        <cfvo type="num" val="0"/>
        <cfvo type="num" val="0.5"/>
        <cfvo type="num" val="1"/>
        <color rgb="FFF4CCCC"/>
        <color rgb="FFFFF2CC"/>
        <color rgb="FFE2F0D9"/>
      </colorScale>
    </cfRule>
  </conditionalFormatting>
  <conditionalFormatting sqref="B44">
    <cfRule type="colorScale" priority="4">
      <colorScale>
        <cfvo type="num" val="0"/>
        <cfvo type="num" val="0.5"/>
        <cfvo type="num" val="1"/>
        <color rgb="FFF4CCCC"/>
        <color rgb="FFFFF2CC"/>
        <color rgb="FFE2F0D9"/>
      </colorScale>
    </cfRule>
  </conditionalFormatting>
  <conditionalFormatting sqref="C13:C19">
    <cfRule type="colorScale" priority="5">
      <colorScale>
        <cfvo type="num" val="0"/>
        <cfvo type="num" val="2"/>
        <cfvo type="num" val="4"/>
        <color rgb="FFF4CCCC"/>
        <color rgb="FFFFF2CC"/>
        <color rgb="FFE2F0D9"/>
      </colorScale>
    </cfRule>
  </conditionalFormatting>
  <conditionalFormatting sqref="C36:C42">
    <cfRule type="colorScale" priority="3">
      <colorScale>
        <cfvo type="num" val="0"/>
        <cfvo type="num" val="2"/>
        <cfvo type="num" val="4"/>
        <color rgb="FFF4CCCC"/>
        <color rgb="FFFFF2CC"/>
        <color rgb="FFE2F0D9"/>
      </colorScale>
    </cfRule>
  </conditionalFormatting>
  <conditionalFormatting sqref="F50:F59">
    <cfRule type="colorScale" priority="1">
      <colorScale>
        <cfvo type="num" val="0"/>
        <cfvo type="num" val="0.08"/>
        <cfvo type="num" val="0.1"/>
        <color rgb="FFE2F0D9"/>
        <color rgb="FFFFF2CC"/>
        <color rgb="FFF4CCCC"/>
      </colorScale>
    </cfRule>
  </conditionalFormatting>
  <conditionalFormatting sqref="F64:F73">
    <cfRule type="colorScale" priority="2">
      <colorScale>
        <cfvo type="num" val="0"/>
        <cfvo type="num" val="0.08"/>
        <cfvo type="num" val="0.1"/>
        <color rgb="FFE2F0D9"/>
        <color rgb="FFFFF2CC"/>
        <color rgb="FFF4CCCC"/>
      </colorScale>
    </cfRule>
  </conditionalFormatting>
  <pageMargins left="0.7" right="0.7" top="0.78740157499999996" bottom="0.78740157499999996" header="0.3" footer="0.3"/>
  <pageSetup paperSize="9" scale="5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Update>
  <Cmd case="SkabelonDesign.DocumentData:DefineData" variableName="ReferenceNo">
    <Doc.Prop.ReferenceNo>
      <Doc.Prop.ReferenceNo/>
    </Doc.Prop.ReferenceNo>
    <s/>
  </Cmd>
  <Cmd case="SkabelonDesign.DocumentData:DefineData" variableName="BasedOn">
    <Doc.Prop.BasedOn>
      <Doc.Prop.BasedOn/>
    </Doc.Prop.BasedOn>
    <s/>
  </Cmd>
  <Cmd case="SkabelonDesign.DocumentData:DefineData" variableName="BasedOnDocumentId">
    <Doc.Prop.BasedOnDocumentId>
      <Doc.Prop.BasedOnDocumentId/>
    </Doc.Prop.BasedOnDocumentId>
    <s/>
  </Cmd>
  <Cmd case="SkabelonDesign.DocumentData:DefineData" variableName="BasedOnLanguageCode">
    <Doc.Prop.BasedOnLanguageCode>
      <Doc.Prop.BasedOnLanguageCode/>
    </Doc.Prop.BasedOnLanguageCode>
    <s/>
  </Cmd>
  <Cmd case="SkabelonDesign.DocumentData:DefineData" variableName="BasedOnDocumentRevisionId">
    <Doc.Prop.BasedOnDocumentRevisionId>
      <Doc.Prop.BasedOnDocumentRevisionId/>
    </Doc.Prop.BasedOnDocumentRevisionId>
    <s/>
  </Cmd>
  <Cmd case="SkabelonDesign.DocumentData:DefineData" variableName="BasedOnDocumentPartId">
    <Doc.Prop.BasedOnDocumentPartId>
      <Doc.Prop.BasedOnDocumentPartId/>
    </Doc.Prop.BasedOnDocumentPartId>
    <s/>
  </Cmd>
  <Cmd case="SkabelonDesign.DocumentData:DefineData" variableName="CustomerName">
    <Doc.Prop.CustomerName>
      <Doc.Prop.CustomerName/>
    </Doc.Prop.CustomerName>
    <s/>
  </Cmd>
  <Cmd case="SkabelonDesign.DocumentData:DefineData" variableName="ProjectName">
    <Doc.Prop.ProjectName>
      <Doc.Prop.ProjectName/>
    </Doc.Prop.ProjectName>
    <s/>
  </Cmd>
  <Cmd case="SkabelonDesign.DocumentData:DefineData" variableName="ProjectId">
    <Doc.Prop.ProjectId>
      <Doc.Prop.ProjectId/>
    </Doc.Prop.ProjectId>
    <s/>
  </Cmd>
  <Cmd case="SkabelonDesign.DocumentData:DefineData" variableName="DocumentIdExternal">
    <Doc.Prop.DocumentIdExternal>
      <Doc.Prop.DocumentIdExternal/>
    </Doc.Prop.DocumentIdExternal>
    <s/>
  </Cmd>
  <Cmd case="SkabelonDesign.DocumentData:DefineData" variableName="DocumentClassIdIEC61355">
    <Doc.Prop.DocumentClassIdIEC61355>
      <Doc.Prop.DocumentClassIdIEC61355/>
    </Doc.Prop.DocumentClassIdIEC61355>
    <s/>
  </Cmd>
  <Cmd case="SkabelonDesign.DocumentData:DefineData" variableName="OccurrenceIdIEC61346">
    <Doc.Prop.OccurrenceIdIEC61346>
      <Doc.Prop.OccurrenceIdIEC61346/>
    </Doc.Prop.OccurrenceIdIEC61346>
    <s/>
  </Cmd>
  <Cmd case="SkabelonDesign.DocumentData:DefineData" variableName="DocumentId">
    <Doc.Prop.DocumentId>
      <Doc.Prop.DocumentId/>
    </Doc.Prop.DocumentId>
    <s/>
  </Cmd>
  <Cmd case="SkabelonDesign.DocumentData:UpdateCustomXml" variableName="DocumentId" xpath="(//*[local-name() = 'documentManagement']/*[local-name() = 'ABB_Coll_DocumentId'])"/>
  <Cmd case="SkabelonDesign.DocumentData:DefineData" variableName="Date">
    <Doc.Prop.Date>
      <Doc.Prop.Date/>
    </Doc.Prop.Date>
    <s/>
  </Cmd>
  <Cmd case="SkabelonDesign.DocumentData:DefineData" variableName="Addressinput">
    <Doc.Prop.Addressinput>
      <Doc.Prop.Addressinput/>
    </Doc.Prop.Addressinput>
    <s/>
  </Cmd>
  <Cmd case="SkabelonDesign.DocumentData:DefineData" variableName="Business">
    <Doc.Prop.Business>
      <Doc.Prop.Business/>
    </Doc.Prop.Business>
    <s/>
  </Cmd>
  <Cmd case="SkabelonDesign.DocumentData:DefineData" variableName="CreatorName">
    <Doc.Prop.CreatorName>
      <Doc.Prop.CreatorName/>
    </Doc.Prop.CreatorName>
    <s/>
  </Cmd>
  <Cmd case="SkabelonDesign.DocumentData:DefineData" variableName="From">
    <Doc.Prop.From>
      <Doc.Prop.From/>
    </Doc.Prop.From>
    <s/>
  </Cmd>
  <Cmd case="SkabelonDesign.DocumentData:DefineData" variableName="PhoneDirect">
    <Doc.Prop.PhoneDirect>
      <Doc.Prop.PhoneDirect/>
    </Doc.Prop.PhoneDirect>
    <s/>
  </Cmd>
  <Cmd case="SkabelonDesign.DocumentData:DefineData" variableName="FAXDirect">
    <Doc.Prop.FAXDirect>
      <Doc.Prop.FAXDirect/>
    </Doc.Prop.FAXDirect>
    <s/>
  </Cmd>
  <Cmd case="SkabelonDesign.DocumentData:DefineData" variableName="E-mail">
    <Doc.Prop.E-mail>
      <Doc.Prop.E-mail/>
    </Doc.Prop.E-mail>
    <s/>
  </Cmd>
  <Cmd case="SkabelonDesign.DocumentData:DefineData" variableName="Cc">
    <Doc.Prop.Cc>
      <Doc.Prop.Cc/>
    </Doc.Prop.Cc>
    <s/>
  </Cmd>
  <Cmd case="SkabelonDesign.DocumentData:DefineData" variableName="JobTitle">
    <Doc.Prop.JobTitle>
      <Doc.Prop.JobTitle/>
    </Doc.Prop.JobTitle>
    <s/>
  </Cmd>
  <Cmd case="SkabelonDesign.DocumentData:DefineData" variableName="LanguageCode">
    <Doc.Prop.LanguageCode>
      <Doc.Prop.LanguageCode/>
    </Doc.Prop.LanguageCode>
    <s/>
  </Cmd>
  <cmd case="SkabelonDesign.DocumentData:UpdateCustomXml" variableName="LanguageCode" xpath="(//*[local-name() = 'documentManagement']/*[local-name() = 'o8cb8facb2054f9d919ea0674048ef40']/*[local-name() = 'Terms']/*[local-name() = 'TermInfo']/*[local-name() = 'TermName'])"/>
  <Cmd case="SkabelonDesign.DocumentData:DefineData" variableName="LanguageCodeGUID">
    <Doc.Prop.LanguageCodeGUID>
      <Doc.Prop.LanguageCodeGUID/>
    </Doc.Prop.LanguageCodeGUID>
    <s/>
  </Cmd>
  <cmd case="SkabelonDesign.DocumentData:UpdateCustomXml" variableName="LanguageCodeGUID" xpath="(//*[local-name() = 'documentManagement']/*[local-name() = 'o8cb8facb2054f9d919ea0674048ef40']/*[local-name() = 'Terms']/*[local-name() = 'TermInfo']/*[local-name() = 'TermId'])"/>
  <Cmd case="SkabelonDesign.DocumentData:DefineData" variableName="DocumentRevisionId">
    <Doc.Prop.DocumentRevisionId>
      <Doc.Prop.DocumentRevisionId/>
    </Doc.Prop.DocumentRevisionId>
    <s/>
  </Cmd>
  <Cmd case="SkabelonDesign.DocumentData:UpdateCustomXml" variableName="DocumentRevisionId" xpath="(//*[local-name() = 'documentManagement']/*[local-name() = 'DocumentRevisionId'])"/>
  <Cmd case="SkabelonDesign.DocumentData:DefineData" variableName="SecurityLevel">
    <Doc.Prop.SecurityLevel>
      <Doc.Prop.SecurityLevel/>
    </Doc.Prop.SecurityLevel>
    <s/>
  </Cmd>
  <Cmd case="SkabelonDesign.DocumentData:UpdateCustomXml" variableName="SecurityLevel" xpath="(//*[local-name() = 'documentManagement']/*[local-name() = 'ABB_Coll_SecurityLevel'])"/>
  <Cmd case="SkabelonDesign.DocumentData:DefineData" variableName="DocumentKind">
    <Doc.Prop.DocumentKind>
      <Doc.Prop.DocumentKind/>
    </Doc.Prop.DocumentKind>
    <s/>
  </Cmd>
  <cmd case="SkabelonDesign.DocumentData:UpdateCustomXml" variableName="DocumentKind" xpath="(//*[local-name() = 'documentManagement']/*[local-name() = 'na4369807a744182aff6832bcef961df']/*[local-name() = 'Terms']/*[local-name() = 'TermInfo']/*[local-name() = 'TermName'])"/>
  <Cmd case="SkabelonDesign.DocumentData:DefineData" variableName="DocumentKindGUID">
    <Doc.Prop.DocumentKindGUID>
      <Doc.Prop.DocumentKindGUID/>
    </Doc.Prop.DocumentKindGUID>
    <s/>
  </Cmd>
  <cmd case="SkabelonDesign.DocumentData:UpdateCustomXml" variableName="DocumentKindGUID" xpath="(//*[local-name() = 'documentManagement']/*[local-name() = 'na4369807a744182aff6832bcef961df']/*[local-name() = 'Terms']/*[local-name() = 'TermInfo']/*[local-name() = 'TermId'])"/>
  <Cmd case="SkabelonDesign.DocumentData:DefineData" variableName="CompanyName">
    <Doc.Prop.CompanyName>
      <Doc.Prop.CompanyName/>
    </Doc.Prop.CompanyName>
    <s/>
  </Cmd>
  <Cmd case="SkabelonDesign.DocumentData:DefineData" variableName="POBox">
    <Doc.Prop.POBox>
      <Doc.Prop.POBox/>
    </Doc.Prop.POBox>
    <s/>
  </Cmd>
  <Cmd case="SkabelonDesign.DocumentData:DefineData" variableName="City">
    <Doc.Prop.City>
      <Doc.Prop.City/>
    </Doc.Prop.City>
    <s/>
  </Cmd>
  <Cmd case="SkabelonDesign.DocumentData:DefineData" variableName="PostalAddress">
    <Doc.Prop.PostalAddress>
      <Doc.Prop.PostalAddress/>
    </Doc.Prop.PostalAddress>
    <s/>
  </Cmd>
  <Cmd case="SkabelonDesign.DocumentData:DefineData" variableName="PreparedByPerson">
    <Doc.Prop.PreparedByPerson>
      <Doc.Prop.PreparedByPerson/>
    </Doc.Prop.PreparedByPerson>
    <s/>
  </Cmd>
  <Cmd case="SkabelonDesign.DocumentData:UpdateCustomXml" variableName="PreparedByPerson" xpath="(//*[local-name() = 'documentManagement']/*[local-name() = 'ABB_Coll_PreparedByPerson'])"/>
  <Cmd case="SkabelonDesign.DocumentData:DefineData" variableName="PreparedDate">
    <Doc.Prop.PreparedDate>
      <Doc.Prop.PreparedDate/>
    </Doc.Prop.PreparedDate>
    <s/>
  </Cmd>
  <Cmd case="SkabelonDesign.DocumentData:UpdateCustomXml" variableName="PreparedDate" xpath="(//*[local-name() = 'documentManagement']/*[local-name() = 'ABB_Coll_PreparedDate'])"/>
  <Cmd case="SkabelonDesign.DocumentData:DefineData" variableName="ApprovedByPerson">
    <Doc.Prop.ApprovedByPerson>
      <Doc.Prop.ApprovedByPerson/>
    </Doc.Prop.ApprovedByPerson>
    <s/>
  </Cmd>
  <Cmd case="SkabelonDesign.DocumentData:DefineData" variableName="ApprovalDate">
    <Doc.Prop.ApprovalDate>
      <Doc.Prop.ApprovalDate/>
    </Doc.Prop.ApprovalDate>
    <s/>
  </Cmd>
  <Cmd case="SkabelonDesign.DocumentData:UpdateCustomXml" variableName="ApprovalDate" xpath="(//*[local-name() = 'documentManagement']/*[local-name() = 'ABB_Coll_ApprovalDate'])"/>
  <Cmd case="SkabelonDesign.DocumentData:DefineData" variableName="LifecycleStatus">
    <Doc.Prop.LifecycleStatus>
      <Doc.Prop.LifecycleStatus/>
    </Doc.Prop.LifecycleStatus>
    <s/>
  </Cmd>
  <Cmd case="SkabelonDesign.DocumentData:UpdateCustomXml" variableName="LifecycleStatus" xpath="(//*[local-name() = 'documentManagement']/*[local-name() = 'ABB_Coll_LifecycleStatus'])"/>
  <Cmd case="SkabelonDesign.DocumentData:DefineData" variableName="CopyrightYear">
    <Doc.Prop.CopyrightYear>
      <Doc.Prop.CopyrightYear/>
    </Doc.Prop.CopyrightYear>
    <s/>
  </Cmd>
  <Cmd case="SkabelonDesign.DocumentData:DefineData" variableName="SecurityLevel">
    <Doc.Prop.SecurityLevel>
      <Doc.Prop.SecurityLevel/>
    </Doc.Prop.SecurityLevel>
    <s/>
  </Cmd>
  <Cmd case="SkabelonDesign.DocumentData:DefineData" variableName="Title">
    <Doc.Prop.Title>
      <Doc.Prop.Title/>
    </Doc.Prop.Title>
    <Doc.Prop.DocumentTitle>
      <Doc.Prop.DocumentTitle/>
    </Doc.Prop.DocumentTitle>
    <s/>
  </Cmd>
  <Cmd case="SkabelonDesign.DocumentData:DefineData" variableName="SupplementaryTitle">
    <Doc.Prop.SupplementaryTitle>
      <Doc.Prop.SupplementaryTitle/>
    </Doc.Prop.SupplementaryTitle>
    <s/>
  </Cmd>
  <Cmd case="SkabelonDesign.DocumentData:DefineData" variableName="CategoryTitle">
    <Doc.Prop.CategoryTitle>
      <Doc.Prop.CategoryTitle/>
    </Doc.Prop.CategoryTitle>
    <s/>
  </Cmd>
  <Cmd case="SkabelonDesign.DocumentData:DefineData" variableName="Year">
    <Doc.Prop.Year>
      <Doc.Prop.Year/>
    </Doc.Prop.Year>
    <s/>
  </Cmd>
  <Cmd case="SkabelonDesign.DocumentData:DefineData" variableName="BusinessArea">
    <Doc.Prop.BusinessArea>
      <Doc.Prop.BusinessArea/>
    </Doc.Prop.BusinessArea>
    <s/>
  </Cmd>
  <Cmd case="SkabelonDesign.DocumentData:DefineData" variableName="OwningOrganization">
    <Doc.Prop.OwningOrganization>
      <Doc.Prop.OwningOrganization/>
    </Doc.Prop.OwningOrganization>
    <s/>
  </Cmd>
  <Cmd case="SkabelonDesign.DocumentData:UpdateCustomXml" variableName="OwningOrganization" xpath="(//*[local-name() = 'documentManagement']/*[local-name() = 'ABB_Coll_OwningOrganization'])"/>
  <Cmd case="SkabelonDesign.DocumentData:DefineData" variableName="Status">
    <Doc.Prop.Status>
      <Doc.Prop.Status/>
    </Doc.Prop.Status>
    <s/>
  </Cmd>
  <Cmd case="SkabelonDesign.DocumentData:DefineData" variableName="Term">
    <Doc.Prop.Term>
      <Doc.Prop.Term/>
    </Doc.Prop.Term>
    <s/>
  </Cmd>
  <cmd case="SkabelonDesign.DocumentData:UpdateCustomXml" variableName="Term" xpath="(//*[local-name() = 'documentManagement']/*[local-name() = 'f1a8b6118a1a4f3ebb578e89f20c0a61']/*[local-name() = 'Terms']/*[local-name() = 'TermInfo']/*[local-name() = 'TermName'])"/>
  <Cmd case="SkabelonDesign.DocumentData:DefineData" variableName="TermGUID">
    <Doc.Prop.TermGUID>
      <Doc.Prop.TermGUID/>
    </Doc.Prop.TermGUID>
    <s/>
  </Cmd>
  <cmd case="SkabelonDesign.DocumentData:UpdateCustomXml" variableName="TermGUID" xpath="(//*[local-name() = 'documentManagement']/*[local-name() = 'f1a8b6118a1a4f3ebb578e89f20c0a61']/*[local-name() = 'Terms']/*[local-name() = 'TermInfo']/*[local-name() = 'TermId'])"/>
  <Cmd case="SkabelonDesign.DocumentData:DefineData" variableName="Copyright">
    <Doc.Prop.CopyrightYear>
      <s>
				© </s>
      <Doc.Prop.CopyrightYear/>
      <s>	 Hitachi Energy. All rights reserved.
			</s>
    </Doc.Prop.CopyrightYear>
    <Custom Name="Doc.XPath/*[local-name() = 'GrowBusinessDocument']/*[local-name() = 'DocumentTitle.Title']">
      <Custom Name="Doc.XPath/*[local-name() = 'GrowBusinessDocument']/*[local-name() = 'DocumentTitle.Title']"/>
    </Custom>
    <s/>
  </Cmd>
  <Cmd case="SkabelonDesign.DocumentData:DefineData" variableName="DocumentRevisionIdLabelAndValue">
    <Doc.Prop.DocumentRevisionId>
      <s>
				 - Rev:  
			</s>
      <Doc.Prop.DocumentRevisionId/>
    </Doc.Prop.DocumentRevisionId>
    <s/>
  </Cmd>
  <Cmd case="SkabelonDesign.DocumentData:DefineData" variableName="PPMetadata">
    <Doc.Prop.DocumentID>
      <Doc.Prop.Date/>
      <s>
				 - Document ID:
			</s>
      <Doc.Prop.DocumentID/>
      <DocumentRevisionIdLabelAndValue/>
    </Doc.Prop.DocumentID>
    <Doc.Prop.Date>
      <Doc.Prop.Date/>
    </Doc.Prop.Date>
    <s/>
  </Cmd>
  <Cmd case="SkabelonDesign.DocumentData:DefineData" variableName="DocumentIdLabel">
    <Doc.Prop.DocumentID>
      <s>
				Document ID.:
			</s>
    </Doc.Prop.DocumentID>
    <s/>
  </Cmd>
  <Cmd case="SkabelonDesign.DocumentData:DefineData" variableName="DocumentRevisionIdLabel">
    <Doc.Prop.DocumentID>
      <s>
				Rev.:
			</s>
    </Doc.Prop.DocumentID>
    <s/>
  </Cmd>
  <Cmd case="BaseExtensions:If" if-1-type="documentprop" if-1-key="SecurityLevel" if-1-value="Internal">
    <True>
      <Cmd case="BaseExtensions:show-hide-pp" show="True" ShapeNames="Internal"/>
      <Cmd case="BaseExtensions:show-hide-pp" show="False" ShapeNames="Confidential"/>
      <Cmd case="BaseExtensions:show-hide-pp" show="False" ShapeNames="Strictly Confidential"/>
      <Cmd case="BaseExtensions:show-hide-pp" show="False" ShapeNames="Public"/>
    </True>
  </Cmd>
  <Cmd case="BaseExtensions:If" if-1-type="documentprop" if-1-key="SecurityLevel" if-1-value="Confidential">
    <True>
      <Cmd case="BaseExtensions:show-hide-pp" show="False" ShapeNames="Internal"/>
      <Cmd case="BaseExtensions:show-hide-pp" show="True" ShapeNames="Confidential"/>
      <Cmd case="BaseExtensions:show-hide-pp" show="False" ShapeNames="Strictly Confidential"/>
      <Cmd case="BaseExtensions:show-hide-pp" show="False" ShapeNames="Public"/>
    </True>
  </Cmd>
  <Cmd case="BaseExtensions:If" if-1-type="documentprop" if-1-key="SecurityLevel" if-1-value="Strictly Confidential">
    <True>
      <Cmd case="BaseExtensions:show-hide-pp" show="False" ShapeNames="Internal"/>
      <Cmd case="BaseExtensions:show-hide-pp" show="False" ShapeNames="Confidential"/>
      <Cmd case="BaseExtensions:show-hide-pp" show="True" ShapeNames="Strictly Confidential"/>
      <Cmd case="BaseExtensions:show-hide-pp" show="False" ShapeNames="Public"/>
    </True>
  </Cmd>
  <Cmd case="BaseExtensions:If" if-1-type="documentprop" if-1-key="SecurityLevel" if-1-value="Public">
    <True>
      <Cmd case="BaseExtensions:show-hide-pp" show="False" ShapeNames="Internal"/>
      <Cmd case="BaseExtensions:show-hide-pp" show="False" ShapeNames="Confidential"/>
      <Cmd case="BaseExtensions:show-hide-pp" show="False" ShapeNames="Strictly Confidential"/>
      <Cmd case="BaseExtensions:show-hide-pp" show="True" ShapeNames="Public"/>
    </True>
  </Cmd>
</Update>
<!--
	<Cmd case="BaseExtensions:If" 
	if-1-type="docpropmap" 
	if-1-key="TemplafyTenantId" 
	if-1-value="+powergrids;powergridsuat"
	if-2-type="docpropmap" 	
	if-2-key="SecurityLevel" 
	if-2-value="+Strictly Confidential"	
	>
		<True>
			<Cmd case="BaseExtensions:delete-content" type="shape" identifier="Internal"/>
			<Cmd case="BaseExtensions:delete-content" type="shape" identifier="Public"/>
			<Cmd case="BaseExtensions:delete-content" type="shape" identifier="Confidential"/>		
			<Cmd case="BaseExtensions:find-shape-bring-to-front" 
		layout-1-name="01_Cover Slide1"
		shape-1-name-1="Strictly Confidential"	
		layout-2-name="03_Cover Slide 2"
		shape-2-name-1="Strictly Confidential"	
	/>
		</True>
	</Cmd>	
<Cmd case="BaseExtensions:If" 
	if-1-type="docpropmap" 
	if-1-key="TemplafyTenantId" 
	if-1-value="+powergrids;powergridsuat"
	if-2-key="SecurityLevel" 
	if-2-value="+Strictly Confidential"	
	>
	<True>
		<Cmd case="BaseExtensions:find-shape-bring-to-front" 
		layout-1-name="01_Cover Slide1"
		shape-1-name-1="Strictly Confidential"	
		shape-1-name-2="Internal"
		shape-1-name-3="Public"	
		shape-1-name-4="Confidential"	
		layout-2-name="03_Cover Slide 2"
		shape-2-name-1="Strictly Confidential"	
		shape-2-name-2="Internal"
		shape-2-name-3="Public"	
		shape-2-name-4="Confidential"
	/>
	</True>
</Cmd>	
-->
</file>

<file path=customXml/item2.xml><?xml version="1.0" encoding="utf-8"?>
<TemplafyFormConfiguration><![CDATA[{"formFields":[{"required":true,"placeholder":"","lines":0,"helpTexts":{"prefix":"","postfix":""},"spacing":{},"shareValue":false,"type":"textBox","name":"DocumentTitle","label":"Title"},{"distinct":true,"hideIfNoUserInteractionRequired":false,"required":true,"autoSelectFirstOption":false,"helpTexts":{"prefix":"","postfix":"Document kind is only a classification attribute. It does not affect any context or brand."},"spacing":{},"shareValue":false,"type":"dropDown","dataSourceName":"Document_kind","dataSourceFieldName":"DocKind","name":"DocumentKind","label":"Document Kind"},{"required":true,"placeholder":"","lines":0,"defaultValue":"{{StringJoin(\" \", UserProfile.FirstName, UserProfile.LastName)}}","helpTexts":{"prefix":"","postfix":""},"spacing":{},"shareValue":false,"type":"textBox","name":"PreparedBy","label":"Prepared By"},{"required":true,"helpTexts":{"prefix":"","postfix":""},"spacing":{},"shareValue":false,"type":"datePicker","name":"PreparedDate","label":"Prepared Date"},{"required":false,"placeholder":"","lines":0,"helpTexts":{"prefix":"","postfix":"Dateformat: YYYY-MM-DD"},"spacing":{},"shareValue":false,"type":"textBox","name":"ApprovedDate","label":"Approval Date"},{"required":false,"placeholder":"","lines":0,"helpTexts":{"prefix":"","postfix":""},"spacing":{},"shareValue":false,"type":"textBox","name":"ApprovedBy","label":"Approved By"},{"distinct":true,"hideIfNoUserInteractionRequired":false,"required":false,"defaultValue":"Draft","autoSelectFirstOption":false,"helpTexts":{"prefix":"","postfix":""},"spacing":{},"shareValue":false,"type":"dropDown","dataSourceName":"LifecycleStatus","dataSourceFieldName":"Status","name":"LifecycleStatus","label":"Lifecycle Status"},{"distinct":true,"hideIfNoUserInteractionRequired":false,"required":true,"defaultValue":"Internal","autoSelectFirstOption":false,"helpTexts":{"prefix":"","postfix":""},"spacing":{},"shareValue":false,"type":"dropDown","dataSourceName":"SecurityLevels","dataSourceFieldName":"SecurityLevels","name":"SecurityLevelW","label":"Security Level"},{"required":false,"placeholder":"","lines":0,"helpTexts":{"prefix":"","postfix":"Identity in accordance with Company Standard"},"spacing":{},"shareValue":false,"type":"textBox","name":"DocumentIDW","label":"Document Id"},{"distinct":true,"hideIfNoUserInteractionRequired":false,"required":true,"defaultValue":"en - English","autoSelectFirstOption":false,"helpTexts":{"prefix":"","postfix":""},"spacing":{},"shareValue":false,"type":"dropDown","dataSourceName":"LanguageCodes","dataSourceFieldName":"ShowName","name":"LanguageCode","label":"Language Code"},{"required":false,"placeholder":"","lines":0,"defaultValue":"A","helpTexts":{"prefix":"","postfix":""},"spacing":{},"shareValue":false,"type":"textBox","name":"RevisionW","label":"Document Revision Id"},{"required":true,"placeholder":"","lines":0,"defaultValue":"{{FormatDateTime(Now(), \"yyyy\")}}","helpTexts":{"prefix":"","postfix":"Year of first publication"},"spacing":{},"shareValue":false,"type":"textBox","name":"CopyrightInformation","label":"Copyright Year"}],"formDataEntries":[{"name":"DocumentTitle","value":"7sDJhqCRCiPQRbjvaGyu1w=="},{"name":"DocumentKind","value":"qSr65pav99Rrb08UGRlXVaaOiXbZtvKbgBDk65vedV0="},{"name":"PreparedBy","value":"tlYn529d4Dcz2Dcd5Y7q9A=="},{"name":"PreparedDate","value":"1Clw9Ad/5RK2HSAGXn9h1Q=="},{"name":"LifecycleStatus","value":"U3akOKOj5fUEbXINKzZMSIpsytu7b3dCm8RZm0AgRrU="},{"name":"SecurityLevelW","value":"OyJROoQny+bmIB584KKDYUzprtPFmYBrqNoE4tyLKuU="},{"name":"LanguageCode","value":"bnr9b3ZP63EQt8MCXDrRg4MJpZiUOnn4OHsbxFVk30Y="},{"name":"RevisionW","value":"O49+Vt6QAfxl87HqJlS4Pw=="},{"name":"CopyrightInformation","value":"JA3zv/aoCxyC/b7x1XGsfA=="}]}]]></TemplafyFormConfiguratio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824EBA69B4248BD1407DB83A70CE4" ma:contentTypeVersion="11" ma:contentTypeDescription="Create a new document." ma:contentTypeScope="" ma:versionID="dbf9e0e53fae6d1d5aa047fe2419dc36">
  <xsd:schema xmlns:xsd="http://www.w3.org/2001/XMLSchema" xmlns:xs="http://www.w3.org/2001/XMLSchema" xmlns:p="http://schemas.microsoft.com/office/2006/metadata/properties" xmlns:ns2="426d8524-94ae-46f0-937f-0af9085db239" xmlns:ns3="21af4eb1-bd00-47b4-9795-83e11315412b" targetNamespace="http://schemas.microsoft.com/office/2006/metadata/properties" ma:root="true" ma:fieldsID="dbf24e751151063b726cc6b0c14b9c16" ns2:_="" ns3:_="">
    <xsd:import namespace="426d8524-94ae-46f0-937f-0af9085db239"/>
    <xsd:import namespace="21af4eb1-bd00-47b4-9795-83e1131541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d8524-94ae-46f0-937f-0af9085db2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48f71b8-5660-4508-9671-02390a85f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f4eb1-bd00-47b4-9795-83e11315412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3cab5f-5c02-4e00-b359-5469c82c44ca}" ma:internalName="TaxCatchAll" ma:showField="CatchAllData" ma:web="21af4eb1-bd00-47b4-9795-83e1131541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TemplafyTemplateConfiguration><![CDATA[{"transformationConfigurations":[{"propertyName":"LanguageCode","propertyValue":"{{Form.LanguageCode.LanguageCode}}","disableUpdates":false,"type":"customDocumentProperty"},{"propertyName":"DocumentKind","propertyValue":"{{Form.DocumentKind.DocKind}}","disableUpdates":false,"type":"customDocumentProperty"},{"propertyName":"PreparedDate","propertyValue":"{{Form.PreparedDate}}","disableUpdates":false,"type":"customDocumentProperty"},{"propertyName":"PreparedByPerson","propertyValue":"{{Form.PreparedBy}}","disableUpdates":false,"type":"customDocumentProperty"},{"propertyName":"CreatorName","propertyValue":"{{StringJoin(\" \", UserProfile.FirstName, UserProfile.LastName)}}","disableUpdates":false,"type":"customDocumentProperty"},{"propertyName":"SecurityLevel","propertyValue":"{{Form.SecurityLevelW.SecurityLevels}}","disableUpdates":false,"type":"customDocumentProperty"},{"propertyName":"DocumentRevisionId","propertyValue":"{{Form.RevisionW}}","disableUpdates":false,"type":"customDocumentProperty"},{"propertyName":"DocumentId","propertyValue":"{{Form.DocumentIDW}}","disableUpdates":false,"type":"customDocumentProperty"},{"propertyName":"DocumentTitle","propertyValue":"{{Form.DocumentTitle}}","disableUpdates":false,"type":"customDocumentProperty"},{"propertyName":"CopyrightYear","propertyValue":"{{Form.CopyrightInformation}}","disableUpdates":false,"type":"customDocumentProperty"},{"propertyName":"OwningOrganization","propertyValue":"{{UserProfile.OwningOrganization}}","disableUpdates":false,"type":"customDocumentProperty"},{"propertyName":"ApprovedByPerson","propertyValue":"{{Form.ApprovedBy}}","disableUpdates":false,"type":"customDocumentProperty"},{"propertyName":"ApprovalDate","propertyValue":"{{Form.ApprovedDate}}","disableUpdates":false,"type":"customDocumentProperty"},{"propertyName":"LanguageCodeGUID","propertyValue":"{{Form.LanguageCode.Guid}}","disableUpdates":false,"type":"customDocumentProperty"},{"propertyName":"DocumentKindGUID","propertyValue":"{{Form.DocumentKind.Guid}}","disableUpdates":false,"type":"customDocumentProperty"},{"propertyName":"LifeCycleStatus","propertyValue":"{{Form.LifecycleStatus.Status}}","disableUpdates":false,"type":"customDocumentProperty"}],"templateName":"Standard","templateDescription":"Hitachi Energy standard template","enableDocumentContentUpdater":true,"version":"2.0"}]]></TemplafyTemplate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af4eb1-bd00-47b4-9795-83e11315412b" xsi:nil="true"/>
    <lcf76f155ced4ddcb4097134ff3c332f xmlns="426d8524-94ae-46f0-937f-0af9085db239">
      <Terms xmlns="http://schemas.microsoft.com/office/infopath/2007/PartnerControls"/>
    </lcf76f155ced4ddcb4097134ff3c332f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11026-2029-40D4-88E1-110FA679C8BE}">
  <ds:schemaRefs/>
</ds:datastoreItem>
</file>

<file path=customXml/itemProps2.xml><?xml version="1.0" encoding="utf-8"?>
<ds:datastoreItem xmlns:ds="http://schemas.openxmlformats.org/officeDocument/2006/customXml" ds:itemID="{1ED99533-CCA2-4A51-A8F8-F0F655B79964}">
  <ds:schemaRefs/>
</ds:datastoreItem>
</file>

<file path=customXml/itemProps3.xml><?xml version="1.0" encoding="utf-8"?>
<ds:datastoreItem xmlns:ds="http://schemas.openxmlformats.org/officeDocument/2006/customXml" ds:itemID="{8CBE4144-0114-4A71-AF3F-E45DC4370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6d8524-94ae-46f0-937f-0af9085db239"/>
    <ds:schemaRef ds:uri="21af4eb1-bd00-47b4-9795-83e1131541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99125D3-7369-48BD-8089-888D3826B2A7}">
  <ds:schemaRefs/>
</ds:datastoreItem>
</file>

<file path=customXml/itemProps5.xml><?xml version="1.0" encoding="utf-8"?>
<ds:datastoreItem xmlns:ds="http://schemas.openxmlformats.org/officeDocument/2006/customXml" ds:itemID="{A58F5EDA-D1D5-49C1-9B9B-3E2F3EB94538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26d8524-94ae-46f0-937f-0af9085db239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21af4eb1-bd00-47b4-9795-83e11315412b"/>
    <ds:schemaRef ds:uri="http://purl.org/dc/dcmitype/"/>
    <ds:schemaRef ds:uri="http://purl.org/dc/terms/"/>
  </ds:schemaRefs>
</ds:datastoreItem>
</file>

<file path=customXml/itemProps6.xml><?xml version="1.0" encoding="utf-8"?>
<ds:datastoreItem xmlns:ds="http://schemas.openxmlformats.org/officeDocument/2006/customXml" ds:itemID="{9B5984A4-C7E7-4CE7-9530-5BB4C1CB1ED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31e6d9-dc6c-4cd1-9ec6-1dc2b4133195}" enabled="0" method="" siteId="{7831e6d9-dc6c-4cd1-9ec6-1dc2b41331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14</vt:i4>
      </vt:variant>
      <vt:variant>
        <vt:lpstr>Benannte Bereiche</vt:lpstr>
      </vt:variant>
      <vt:variant>
        <vt:i4>12</vt:i4>
      </vt:variant>
    </vt:vector>
  </HeadingPairs>
  <TitlesOfParts>
    <vt:vector size="26" baseType="lpstr">
      <vt:lpstr>Informationen</vt:lpstr>
      <vt:lpstr>Over Current</vt:lpstr>
      <vt:lpstr>220 - 1</vt:lpstr>
      <vt:lpstr>150 - 1</vt:lpstr>
      <vt:lpstr>150 - 2</vt:lpstr>
      <vt:lpstr>150 - 3</vt:lpstr>
      <vt:lpstr>150 - 4</vt:lpstr>
      <vt:lpstr>33 - 1</vt:lpstr>
      <vt:lpstr>33 - 2</vt:lpstr>
      <vt:lpstr>33 - 3</vt:lpstr>
      <vt:lpstr>33 - 4</vt:lpstr>
      <vt:lpstr>33 - 5</vt:lpstr>
      <vt:lpstr>Results</vt:lpstr>
      <vt:lpstr>Entscheidungsmatrix</vt:lpstr>
      <vt:lpstr>'150 - 1'!Druckbereich</vt:lpstr>
      <vt:lpstr>'150 - 2'!Druckbereich</vt:lpstr>
      <vt:lpstr>'150 - 3'!Druckbereich</vt:lpstr>
      <vt:lpstr>'150 - 4'!Druckbereich</vt:lpstr>
      <vt:lpstr>'220 - 1'!Druckbereich</vt:lpstr>
      <vt:lpstr>'33 - 1'!Druckbereich</vt:lpstr>
      <vt:lpstr>'33 - 2'!Druckbereich</vt:lpstr>
      <vt:lpstr>'33 - 3'!Druckbereich</vt:lpstr>
      <vt:lpstr>'33 - 4'!Druckbereich</vt:lpstr>
      <vt:lpstr>'33 - 5'!Druckbereich</vt:lpstr>
      <vt:lpstr>'Over Current'!Druckbereich</vt:lpstr>
      <vt:lpstr>Results!Druckbereich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Schall</dc:creator>
  <cp:lastModifiedBy>Fredrik Schall</cp:lastModifiedBy>
  <cp:lastPrinted>2026-08-10T10:57:09Z</cp:lastPrinted>
  <dcterms:created xsi:type="dcterms:W3CDTF">2026-08-05T12:14:36Z</dcterms:created>
  <dcterms:modified xsi:type="dcterms:W3CDTF">2026-08-17T09:04:46Z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Id">
    <vt:lpwstr/>
  </property>
  <property fmtid="{D5CDD505-2E9C-101B-9397-08002B2CF9AE}" pid="3" name="DocumentPartId">
    <vt:lpwstr> </vt:lpwstr>
  </property>
  <property fmtid="{D5CDD505-2E9C-101B-9397-08002B2CF9AE}" pid="4" name="LanguageCode">
    <vt:lpwstr>en</vt:lpwstr>
  </property>
  <property fmtid="{D5CDD505-2E9C-101B-9397-08002B2CF9AE}" pid="5" name="DocumentRevisionId">
    <vt:lpwstr>A</vt:lpwstr>
  </property>
  <property fmtid="{D5CDD505-2E9C-101B-9397-08002B2CF9AE}" pid="6" name="Lifecycle">
    <vt:lpwstr> </vt:lpwstr>
  </property>
  <property fmtid="{D5CDD505-2E9C-101B-9397-08002B2CF9AE}" pid="7" name="LifeCycleStatus">
    <vt:lpwstr>Draft</vt:lpwstr>
  </property>
  <property fmtid="{D5CDD505-2E9C-101B-9397-08002B2CF9AE}" pid="8" name="DocumentKind">
    <vt:lpwstr>Report</vt:lpwstr>
  </property>
  <property fmtid="{D5CDD505-2E9C-101B-9397-08002B2CF9AE}" pid="9" name="SecurityLevel">
    <vt:lpwstr>Internal</vt:lpwstr>
  </property>
  <property fmtid="{D5CDD505-2E9C-101B-9397-08002B2CF9AE}" pid="10" name="OwningOrganization">
    <vt:lpwstr/>
  </property>
  <property fmtid="{D5CDD505-2E9C-101B-9397-08002B2CF9AE}" pid="11" name="PreparedByPerson">
    <vt:lpwstr>Fredrik Schall</vt:lpwstr>
  </property>
  <property fmtid="{D5CDD505-2E9C-101B-9397-08002B2CF9AE}" pid="12" name="PreparedDate">
    <vt:lpwstr>2026-08-05</vt:lpwstr>
  </property>
  <property fmtid="{D5CDD505-2E9C-101B-9397-08002B2CF9AE}" pid="13" name="ApprovedByPerson">
    <vt:lpwstr/>
  </property>
  <property fmtid="{D5CDD505-2E9C-101B-9397-08002B2CF9AE}" pid="14" name="ApprovalDate">
    <vt:lpwstr/>
  </property>
  <property fmtid="{D5CDD505-2E9C-101B-9397-08002B2CF9AE}" pid="15" name="ProjectName">
    <vt:lpwstr> </vt:lpwstr>
  </property>
  <property fmtid="{D5CDD505-2E9C-101B-9397-08002B2CF9AE}" pid="16" name="CombinedDocumentId">
    <vt:lpwstr> </vt:lpwstr>
  </property>
  <property fmtid="{D5CDD505-2E9C-101B-9397-08002B2CF9AE}" pid="17" name="DocumentVersionId">
    <vt:lpwstr> </vt:lpwstr>
  </property>
  <property fmtid="{D5CDD505-2E9C-101B-9397-08002B2CF9AE}" pid="18" name="SupplementaryTitle">
    <vt:lpwstr> </vt:lpwstr>
  </property>
  <property fmtid="{D5CDD505-2E9C-101B-9397-08002B2CF9AE}" pid="19" name="TitleEnglish">
    <vt:lpwstr> </vt:lpwstr>
  </property>
  <property fmtid="{D5CDD505-2E9C-101B-9397-08002B2CF9AE}" pid="20" name="CreatorName">
    <vt:lpwstr>Fredrik Schall</vt:lpwstr>
  </property>
  <property fmtid="{D5CDD505-2E9C-101B-9397-08002B2CF9AE}" pid="21" name="ResponsibleDepartment">
    <vt:lpwstr> </vt:lpwstr>
  </property>
  <property fmtid="{D5CDD505-2E9C-101B-9397-08002B2CF9AE}" pid="22" name="BasedOnDocumentId">
    <vt:lpwstr> </vt:lpwstr>
  </property>
  <property fmtid="{D5CDD505-2E9C-101B-9397-08002B2CF9AE}" pid="23" name="BasedOnDocumentPartId">
    <vt:lpwstr> </vt:lpwstr>
  </property>
  <property fmtid="{D5CDD505-2E9C-101B-9397-08002B2CF9AE}" pid="24" name="BasedOnDocumentRevisionId">
    <vt:lpwstr> </vt:lpwstr>
  </property>
  <property fmtid="{D5CDD505-2E9C-101B-9397-08002B2CF9AE}" pid="25" name="BasedOnLanguageCode">
    <vt:lpwstr> </vt:lpwstr>
  </property>
  <property fmtid="{D5CDD505-2E9C-101B-9397-08002B2CF9AE}" pid="26" name="Replaces">
    <vt:lpwstr> </vt:lpwstr>
  </property>
  <property fmtid="{D5CDD505-2E9C-101B-9397-08002B2CF9AE}" pid="27" name="ReplacedBy">
    <vt:lpwstr> </vt:lpwstr>
  </property>
  <property fmtid="{D5CDD505-2E9C-101B-9397-08002B2CF9AE}" pid="28" name="Coverage">
    <vt:lpwstr> </vt:lpwstr>
  </property>
  <property fmtid="{D5CDD505-2E9C-101B-9397-08002B2CF9AE}" pid="29" name="RetentionDate">
    <vt:lpwstr> </vt:lpwstr>
  </property>
  <property fmtid="{D5CDD505-2E9C-101B-9397-08002B2CF9AE}" pid="30" name="ProductId">
    <vt:lpwstr> </vt:lpwstr>
  </property>
  <property fmtid="{D5CDD505-2E9C-101B-9397-08002B2CF9AE}" pid="31" name="ProductFamily">
    <vt:lpwstr> </vt:lpwstr>
  </property>
  <property fmtid="{D5CDD505-2E9C-101B-9397-08002B2CF9AE}" pid="32" name="ProductSuite">
    <vt:lpwstr> </vt:lpwstr>
  </property>
  <property fmtid="{D5CDD505-2E9C-101B-9397-08002B2CF9AE}" pid="33" name="Platform">
    <vt:lpwstr> </vt:lpwstr>
  </property>
  <property fmtid="{D5CDD505-2E9C-101B-9397-08002B2CF9AE}" pid="34" name="ProductName">
    <vt:lpwstr> </vt:lpwstr>
  </property>
  <property fmtid="{D5CDD505-2E9C-101B-9397-08002B2CF9AE}" pid="35" name="ProductClass">
    <vt:lpwstr> </vt:lpwstr>
  </property>
  <property fmtid="{D5CDD505-2E9C-101B-9397-08002B2CF9AE}" pid="36" name="Item">
    <vt:lpwstr> </vt:lpwstr>
  </property>
  <property fmtid="{D5CDD505-2E9C-101B-9397-08002B2CF9AE}" pid="37" name="ProductVersion">
    <vt:lpwstr> </vt:lpwstr>
  </property>
  <property fmtid="{D5CDD505-2E9C-101B-9397-08002B2CF9AE}" pid="38" name="ProjectId">
    <vt:lpwstr> </vt:lpwstr>
  </property>
  <property fmtid="{D5CDD505-2E9C-101B-9397-08002B2CF9AE}" pid="39" name="Customer">
    <vt:lpwstr> </vt:lpwstr>
  </property>
  <property fmtid="{D5CDD505-2E9C-101B-9397-08002B2CF9AE}" pid="40" name="ExternalDocumentId">
    <vt:lpwstr> </vt:lpwstr>
  </property>
  <property fmtid="{D5CDD505-2E9C-101B-9397-08002B2CF9AE}" pid="41" name="ReferenceDesignation">
    <vt:lpwstr> </vt:lpwstr>
  </property>
  <property fmtid="{D5CDD505-2E9C-101B-9397-08002B2CF9AE}" pid="42" name="DocumentClassIdIEC61355">
    <vt:lpwstr> </vt:lpwstr>
  </property>
  <property fmtid="{D5CDD505-2E9C-101B-9397-08002B2CF9AE}" pid="43" name="CopyrightYear">
    <vt:lpwstr>2026</vt:lpwstr>
  </property>
  <property fmtid="{D5CDD505-2E9C-101B-9397-08002B2CF9AE}" pid="44" name="ContentTypeId">
    <vt:lpwstr>0x010100F0C824EBA69B4248BD1407DB83A70CE4</vt:lpwstr>
  </property>
  <property fmtid="{D5CDD505-2E9C-101B-9397-08002B2CF9AE}" pid="45" name="TemplateRevisionId">
    <vt:lpwstr>4</vt:lpwstr>
  </property>
  <property fmtid="{D5CDD505-2E9C-101B-9397-08002B2CF9AE}" pid="46" name="MediaServiceImageTags">
    <vt:lpwstr/>
  </property>
  <property fmtid="{D5CDD505-2E9C-101B-9397-08002B2CF9AE}" pid="47" name="TemplafyTenantId">
    <vt:lpwstr>hitachienergy</vt:lpwstr>
  </property>
  <property fmtid="{D5CDD505-2E9C-101B-9397-08002B2CF9AE}" pid="48" name="TemplafyTemplateId">
    <vt:lpwstr>637695742649973528</vt:lpwstr>
  </property>
  <property fmtid="{D5CDD505-2E9C-101B-9397-08002B2CF9AE}" pid="49" name="TemplafyUserProfileId">
    <vt:lpwstr>950930807642390529</vt:lpwstr>
  </property>
  <property fmtid="{D5CDD505-2E9C-101B-9397-08002B2CF9AE}" pid="50" name="TemplafyLanguageCode">
    <vt:lpwstr>en-US</vt:lpwstr>
  </property>
  <property fmtid="{D5CDD505-2E9C-101B-9397-08002B2CF9AE}" pid="51" name="TemplafyFromBlank">
    <vt:bool>false</vt:bool>
  </property>
  <property fmtid="{D5CDD505-2E9C-101B-9397-08002B2CF9AE}" pid="52" name="DocumentTitle">
    <vt:lpwstr>CT Calculation</vt:lpwstr>
  </property>
  <property fmtid="{D5CDD505-2E9C-101B-9397-08002B2CF9AE}" pid="53" name="LanguageCodeGUID">
    <vt:lpwstr>645eeacf-9e24-46f0-b6e5-4c5343c3dda6</vt:lpwstr>
  </property>
  <property fmtid="{D5CDD505-2E9C-101B-9397-08002B2CF9AE}" pid="54" name="DocumentKindGUID">
    <vt:lpwstr>0723b946-41c4-47ed-b82f-86b432384c0a</vt:lpwstr>
  </property>
</Properties>
</file>